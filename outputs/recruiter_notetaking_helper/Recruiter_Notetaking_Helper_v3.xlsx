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robertkelly/Documents/Interview Notes/outputs/recruiter_notetaking_helper/"/>
    </mc:Choice>
  </mc:AlternateContent>
  <xr:revisionPtr revIDLastSave="0" documentId="13_ncr:1_{CADF506D-4CFE-F84E-88FB-A6DE9102F39E}" xr6:coauthVersionLast="47" xr6:coauthVersionMax="47" xr10:uidLastSave="{00000000-0000-0000-0000-000000000000}"/>
  <bookViews>
    <workbookView xWindow="31460" yWindow="300" windowWidth="30240" windowHeight="17820" xr2:uid="{00000000-000D-0000-FFFF-FFFF00000000}"/>
  </bookViews>
  <sheets>
    <sheet name="Intake" sheetId="1" r:id="rId1"/>
    <sheet name="Candidates" sheetId="2" r:id="rId2"/>
    <sheet name="hd_employees" sheetId="3" r:id="rId3"/>
    <sheet name="hd_requisitions" sheetId="4" r:id="rId4"/>
    <sheet name="Settings" sheetId="5" r:id="rId5"/>
    <sheet name="Instruction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2" i="1" l="1"/>
  <c r="F32" i="1"/>
</calcChain>
</file>

<file path=xl/sharedStrings.xml><?xml version="1.0" encoding="utf-8"?>
<sst xmlns="http://schemas.openxmlformats.org/spreadsheetml/2006/main" count="448" uniqueCount="272">
  <si>
    <t>Internal Candidate Interview Notes</t>
  </si>
  <si>
    <t>Lookup an employee and requisition, capture screening notes, and submit the record to the Candidates table.</t>
  </si>
  <si>
    <t>Candidate Details</t>
  </si>
  <si>
    <t>Lookup value</t>
  </si>
  <si>
    <t>Lookup status</t>
  </si>
  <si>
    <t>Full name</t>
  </si>
  <si>
    <t>Employee ID</t>
  </si>
  <si>
    <t>MM ID</t>
  </si>
  <si>
    <t>Business title</t>
  </si>
  <si>
    <t>Recent hire date</t>
  </si>
  <si>
    <t>Location</t>
  </si>
  <si>
    <t>Job profile</t>
  </si>
  <si>
    <t>Management level</t>
  </si>
  <si>
    <t>Manager full name</t>
  </si>
  <si>
    <t>Business group</t>
  </si>
  <si>
    <t>Sub business group</t>
  </si>
  <si>
    <t>Division</t>
  </si>
  <si>
    <t>Requisition Details</t>
  </si>
  <si>
    <t>Req lookup</t>
  </si>
  <si>
    <t>Req status</t>
  </si>
  <si>
    <t>Req ID</t>
  </si>
  <si>
    <t>Job title</t>
  </si>
  <si>
    <t>Recruiter</t>
  </si>
  <si>
    <t>Hiring manager</t>
  </si>
  <si>
    <t>Job description</t>
  </si>
  <si>
    <t>Screening Notes</t>
  </si>
  <si>
    <t>Stage</t>
  </si>
  <si>
    <t>Screener</t>
  </si>
  <si>
    <t>Screen date</t>
  </si>
  <si>
    <t>Next step</t>
  </si>
  <si>
    <t>Exploratory Career Conversation</t>
  </si>
  <si>
    <t>Desired role(s)</t>
  </si>
  <si>
    <t>Target function</t>
  </si>
  <si>
    <t>Mobility interest</t>
  </si>
  <si>
    <t>Career profile complete?</t>
  </si>
  <si>
    <t>Development goals?</t>
  </si>
  <si>
    <t>Skill input</t>
  </si>
  <si>
    <t>Skills chain</t>
  </si>
  <si>
    <t>Recruiter Synthesis / Follow-Up Notes</t>
  </si>
  <si>
    <t>Candidate Conversation Timeline</t>
  </si>
  <si>
    <t>Conversation date / time</t>
  </si>
  <si>
    <t>Role / requisition</t>
  </si>
  <si>
    <t>Stage / next step</t>
  </si>
  <si>
    <t>submission_id</t>
  </si>
  <si>
    <t>conversation_datetime</t>
  </si>
  <si>
    <t>submitted_by</t>
  </si>
  <si>
    <t>candidate_lookup_key</t>
  </si>
  <si>
    <t>candidate_lookup_status</t>
  </si>
  <si>
    <t>employee_id</t>
  </si>
  <si>
    <t>mm_id</t>
  </si>
  <si>
    <t>full_name</t>
  </si>
  <si>
    <t>business_title</t>
  </si>
  <si>
    <t>recent_hire_date</t>
  </si>
  <si>
    <t>location</t>
  </si>
  <si>
    <t>job_profile</t>
  </si>
  <si>
    <t>management_level</t>
  </si>
  <si>
    <t>manager_full_name</t>
  </si>
  <si>
    <t>business_group</t>
  </si>
  <si>
    <t>sub_business_group</t>
  </si>
  <si>
    <t>division</t>
  </si>
  <si>
    <t>requisition_lookup_key</t>
  </si>
  <si>
    <t>requisition_lookup_status</t>
  </si>
  <si>
    <t>requisition_id</t>
  </si>
  <si>
    <t>job_posting_title</t>
  </si>
  <si>
    <t>primary_recruiter</t>
  </si>
  <si>
    <t>requisition_location</t>
  </si>
  <si>
    <t>hiring_managers</t>
  </si>
  <si>
    <t>requisition_job_profile</t>
  </si>
  <si>
    <t>job_description</t>
  </si>
  <si>
    <t>stage</t>
  </si>
  <si>
    <t>screener</t>
  </si>
  <si>
    <t>screen_date</t>
  </si>
  <si>
    <t>next_step</t>
  </si>
  <si>
    <t>desired_roles</t>
  </si>
  <si>
    <t>desired_function</t>
  </si>
  <si>
    <t>mobility_interest</t>
  </si>
  <si>
    <t>skills_chain</t>
  </si>
  <si>
    <t>career_profile_complete</t>
  </si>
  <si>
    <t>development_goals_documented</t>
  </si>
  <si>
    <t>recruiter_synthesis_notes</t>
  </si>
  <si>
    <t>NOTE-2026-001</t>
  </si>
  <si>
    <t>2026-06-02 10:12 UTC</t>
  </si>
  <si>
    <t>Recruiter Demo</t>
  </si>
  <si>
    <t>100245</t>
  </si>
  <si>
    <t>Matched on employee_id</t>
  </si>
  <si>
    <t>MM-004812</t>
  </si>
  <si>
    <t>Avery Martinez</t>
  </si>
  <si>
    <t>Senior Financial Analyst</t>
  </si>
  <si>
    <t>2021-08-16</t>
  </si>
  <si>
    <t>Austin, TX</t>
  </si>
  <si>
    <t>Finance Analyst III</t>
  </si>
  <si>
    <t>Professional</t>
  </si>
  <si>
    <t>Jordan Lee</t>
  </si>
  <si>
    <t>Corporate Finance</t>
  </si>
  <si>
    <t>Planning &amp; Analysis</t>
  </si>
  <si>
    <t>Finance</t>
  </si>
  <si>
    <t>REQ-2026-0142</t>
  </si>
  <si>
    <t>Matched on requisition_id: FP&amp;A Manager</t>
  </si>
  <si>
    <t>FP&amp;A Manager</t>
  </si>
  <si>
    <t>Morgan Chen</t>
  </si>
  <si>
    <t>Finance Manager</t>
  </si>
  <si>
    <t>Lead annual planning, forecasting, and executive reporting for a high-growth finance team.</t>
  </si>
  <si>
    <t>Recruiter screen</t>
  </si>
  <si>
    <t>2026-06-02</t>
  </si>
  <si>
    <t>Advance to hiring manager</t>
  </si>
  <si>
    <t>FP&amp;A Manager | Finance Manager | Planning Lead</t>
  </si>
  <si>
    <t>Actively interested</t>
  </si>
  <si>
    <t>forecasting | executive reporting | stakeholder management | financial modeling</t>
  </si>
  <si>
    <t>Yes</t>
  </si>
  <si>
    <t>Strong internal mobility candidate. Confirm readiness for people leadership and align with current manager before next step.</t>
  </si>
  <si>
    <t>NOTE-2026-002</t>
  </si>
  <si>
    <t>2026-06-03 14:40 UTC</t>
  </si>
  <si>
    <t>MM-008512</t>
  </si>
  <si>
    <t>Matched on mm_id</t>
  </si>
  <si>
    <t>101442</t>
  </si>
  <si>
    <t>Elena Rossi</t>
  </si>
  <si>
    <t>Data Engineering Manager</t>
  </si>
  <si>
    <t>2018-06-25</t>
  </si>
  <si>
    <t>Chicago, IL</t>
  </si>
  <si>
    <t>Manager</t>
  </si>
  <si>
    <t>Sam Patel</t>
  </si>
  <si>
    <t>Data</t>
  </si>
  <si>
    <t>Engineering</t>
  </si>
  <si>
    <t>Technology</t>
  </si>
  <si>
    <t>Director, Data Platform</t>
  </si>
  <si>
    <t>Matched on job_posting_title: Director, Data Platform</t>
  </si>
  <si>
    <t>REQ-2026-0198</t>
  </si>
  <si>
    <t>Data Platform Director</t>
  </si>
  <si>
    <t>Own the internal data platform roadmap, lead engineering managers and senior ICs, and partner with analytics, product, and security leaders.</t>
  </si>
  <si>
    <t>2026-06-03</t>
  </si>
  <si>
    <t>Follow up</t>
  </si>
  <si>
    <t>Director, Data Platform | Senior Engineering Leadership</t>
  </si>
  <si>
    <t>Data / Engineering</t>
  </si>
  <si>
    <t>Open to the right role</t>
  </si>
  <si>
    <t>platform strategy | engineering leadership | data architecture | executive communication</t>
  </si>
  <si>
    <t>Unknown</t>
  </si>
  <si>
    <t>High-potential conversation. Follow up on level expectations, timing, and examples of cross-org influence.</t>
  </si>
  <si>
    <t>NOTE-2026-003</t>
  </si>
  <si>
    <t>2026-06-16 15:25 UTC</t>
  </si>
  <si>
    <t>Hiring manager screen</t>
  </si>
  <si>
    <t>2026-06-16</t>
  </si>
  <si>
    <t>Schedule panel</t>
  </si>
  <si>
    <t>FP&amp;A Manager | Planning Lead</t>
  </si>
  <si>
    <t>forecasting | executive reporting | stakeholder management | financial modeling | coaching</t>
  </si>
  <si>
    <t>Follow-up conversation confirmed continued interest. Avery shared stronger examples of coaching peers and leading the quarterly planning cadence; schedule a panel focused on leadership readiness.</t>
  </si>
  <si>
    <t>100628</t>
  </si>
  <si>
    <t>MM-006104</t>
  </si>
  <si>
    <t>Priya Shah</t>
  </si>
  <si>
    <t>Product Operations Manager</t>
  </si>
  <si>
    <t>2020-03-02</t>
  </si>
  <si>
    <t>New York, NY</t>
  </si>
  <si>
    <t>Product Ops Manager II</t>
  </si>
  <si>
    <t>Product</t>
  </si>
  <si>
    <t>Operations</t>
  </si>
  <si>
    <t>101117</t>
  </si>
  <si>
    <t>MM-007733</t>
  </si>
  <si>
    <t>Lead Recruiter</t>
  </si>
  <si>
    <t>2019-11-18</t>
  </si>
  <si>
    <t>Remote - US</t>
  </si>
  <si>
    <t>Talent Acquisition Lead</t>
  </si>
  <si>
    <t>Casey Nguyen</t>
  </si>
  <si>
    <t>People</t>
  </si>
  <si>
    <t>Talent Acquisition</t>
  </si>
  <si>
    <t>HR</t>
  </si>
  <si>
    <t>101879</t>
  </si>
  <si>
    <t>MM-009406</t>
  </si>
  <si>
    <t>Noah Kim</t>
  </si>
  <si>
    <t>Customer Success Specialist</t>
  </si>
  <si>
    <t>2022-01-10</t>
  </si>
  <si>
    <t>Seattle, WA</t>
  </si>
  <si>
    <t>Customer Success Specialist II</t>
  </si>
  <si>
    <t>Riley Brooks</t>
  </si>
  <si>
    <t>Customer</t>
  </si>
  <si>
    <t>Customer Success</t>
  </si>
  <si>
    <t>Commercial</t>
  </si>
  <si>
    <t>102014</t>
  </si>
  <si>
    <t>MM-010102</t>
  </si>
  <si>
    <t>Danielle Green</t>
  </si>
  <si>
    <t>HR Business Partner</t>
  </si>
  <si>
    <t>2023-04-03</t>
  </si>
  <si>
    <t>Atlanta, GA</t>
  </si>
  <si>
    <t>HRBP II</t>
  </si>
  <si>
    <t>Taylor Smith</t>
  </si>
  <si>
    <t>Business Partners</t>
  </si>
  <si>
    <t>Position_Worker_Type</t>
  </si>
  <si>
    <t>Job_Requisition_Status</t>
  </si>
  <si>
    <t>Requisition_ID</t>
  </si>
  <si>
    <t>Job_Posting_Title</t>
  </si>
  <si>
    <t>Add_to_Staff_or_Replacement</t>
  </si>
  <si>
    <t>Job_Level</t>
  </si>
  <si>
    <t>Number_of_Openings_Available</t>
  </si>
  <si>
    <t>BG</t>
  </si>
  <si>
    <t>SBU</t>
  </si>
  <si>
    <t>DIV</t>
  </si>
  <si>
    <t>Supervisory_Organization</t>
  </si>
  <si>
    <t>Primary_Recruiter</t>
  </si>
  <si>
    <t>Hiring_Managers</t>
  </si>
  <si>
    <t>Job_Profile</t>
  </si>
  <si>
    <t>Employee</t>
  </si>
  <si>
    <t>Open</t>
  </si>
  <si>
    <t>Add to Staff</t>
  </si>
  <si>
    <t>Finance Leadership</t>
  </si>
  <si>
    <t>Lead annual planning, forecasting, and executive reporting for a high-growth finance team. This role partners with senior leaders to translate business strategy into operating plans, improve forecast accuracy, and coach analysts on repeatable planning processes.</t>
  </si>
  <si>
    <t>Replacement</t>
  </si>
  <si>
    <t>Director</t>
  </si>
  <si>
    <t>Data Platform Organization</t>
  </si>
  <si>
    <t>On Hold</t>
  </si>
  <si>
    <t>REQ-2026-0221</t>
  </si>
  <si>
    <t>Senior HR Business Partner</t>
  </si>
  <si>
    <t>People Partner Team</t>
  </si>
  <si>
    <t>Support business leaders through organizational planning, employee relations, talent reviews, and change management. This role requires strong consulting skills and comfort working across distributed teams.</t>
  </si>
  <si>
    <t>HRBP III</t>
  </si>
  <si>
    <t>Settings</t>
  </si>
  <si>
    <t>Stage values</t>
  </si>
  <si>
    <t>Next step values</t>
  </si>
  <si>
    <t>Yes / No values</t>
  </si>
  <si>
    <t>Exploratory</t>
  </si>
  <si>
    <t>No</t>
  </si>
  <si>
    <t>Panel</t>
  </si>
  <si>
    <t>Final</t>
  </si>
  <si>
    <t>Hold / revisit</t>
  </si>
  <si>
    <t>Not ready yet</t>
  </si>
  <si>
    <t>Offer discussion</t>
  </si>
  <si>
    <t>Not moving forward</t>
  </si>
  <si>
    <t>Unsure</t>
  </si>
  <si>
    <t>Other</t>
  </si>
  <si>
    <t>Needs more info</t>
  </si>
  <si>
    <t>Default screener</t>
  </si>
  <si>
    <t>Recruiter Notetaking Helper - Setup Notes</t>
  </si>
  <si>
    <t>1. Refresh data</t>
  </si>
  <si>
    <t>Weekly Python jobs should replace rows in `tblHdEmployees` on `hd_employees` and `tblHdRequisitions` on `hd_requisitions`. Keep sheet names, table names, and column headers unchanged.</t>
  </si>
  <si>
    <t>2. Lookup candidate</t>
  </si>
  <si>
    <t>On `Intake`, enter a full name, employee_id, or mm_id in the Candidate Details lookup box. Run `LookupEmployee.ts` to populate employee information and the five most recent conversation records.</t>
  </si>
  <si>
    <t>3. Lookup requisition</t>
  </si>
  <si>
    <t>Enter a Requisition_ID or Job_Posting_Title in the Requisition Details lookup box. Run `LookupRequisition.ts` to populate requisition information and job description.</t>
  </si>
  <si>
    <t>4. Expand job description</t>
  </si>
  <si>
    <t>Run `ExpandCollapseJobDescription.ts` to toggle the job-description row between a compact preview and an expanded height based on the current text length.</t>
  </si>
  <si>
    <t>5. Add skills</t>
  </si>
  <si>
    <t>Enter one skill at a time in Skill input and run `AddSkill.ts`. The script appends unique skills to the pipe-delimited Skills chain saved at submission.</t>
  </si>
  <si>
    <t>6. Capture notes</t>
  </si>
  <si>
    <t>Complete the exploratory career conversation fields, including desired roles, target function, mobility interest, skills, career profile status, development goals, and recruiter synthesis notes.</t>
  </si>
  <si>
    <t>7. Date and screener</t>
  </si>
  <si>
    <t>Screen date defaults to today and supports Excel's date picker. Set the reusable screener default in `Settings!C16`; Office Scripts cannot reliably read the signed-in user's display name.</t>
  </si>
  <si>
    <t>8. Submit notes</t>
  </si>
  <si>
    <t>Run `SubmitCandidate.ts` to append a new conversation row to `tblCandidateNotes`. Each submission receives a unique conversation timestamp, so the same employee can have multiple records over time.</t>
  </si>
  <si>
    <t>9. Reset form</t>
  </si>
  <si>
    <t>Run `ResetIntakeForm.ts` to clear editable intake fields and timeline results without changing labels, formatting, dropdowns, or the underlying data tables.</t>
  </si>
  <si>
    <t>10. Excel Online</t>
  </si>
  <si>
    <t>Add Automate buttons if desired after uploading the workbook to SharePoint or OneDrive. The intake sheet itself intentionally avoids setup text so it stays clean for recruiters.</t>
  </si>
  <si>
    <t>Martin Johnson</t>
  </si>
  <si>
    <t>Matched on employee_id/mm_id: Avery Martinez</t>
  </si>
  <si>
    <t>2026-06-16 15:25 U C</t>
  </si>
  <si>
    <t>FP&amp;A Manager (REQ-2026-0142)</t>
  </si>
  <si>
    <t>Hiring manager screen | Next: Schedule panel</t>
  </si>
  <si>
    <t>Desired roles: FP&amp;A Manager | Planning Lead | Skills: forecasting | executive reporting | stakeholder management | financial modeling | coaching | Notes: Follow-up conversation confirmed continued interest. Avery shared stronger examples of coaching peers and leading the quarterly planning cadence; schedule a panel focused on leadership readiness.</t>
  </si>
  <si>
    <t>2026-06-02 10:12 U C</t>
  </si>
  <si>
    <t>Recruiter screen | Next: Advance to hiring manager</t>
  </si>
  <si>
    <t>Desired roles: FP&amp;A Manager | Finance Manager | Planning Lead | Skills: forecasting | executive reporting | stakeholder management | financial modeling | Notes: Strong internal mobility candidate. Confirm readiness for people leadership and align with current manager before next step.</t>
  </si>
  <si>
    <t>Matched on requisition_id: Director, Data Platform</t>
  </si>
  <si>
    <t>Own the internal data platform roadmap, lead engineering managers and senior ICs, and partner with analytics, product, and security leaders. The role requires strong technical judgment, operating discipline, and executive communication.
Own the internal data platform roadmap, lead engineering managers and senior ICs, and partner with analytics, product, and security leaders. The role requires strong technical judgment, operating discipline, and executive communication.
Own the internal data platform roadmap, lead engineering managers and senior ICs, and partner with analytics, product, and security leaders. The role requires strong technical judgment, operating discipline, and executive communication.
Own the internal data platform roadmap, lead engineering managers and senior ICs, and partner with analytics, product, and security leaders. The role requires strong technical judgment, operating discipline, and executive communication.</t>
  </si>
  <si>
    <t>test</t>
  </si>
  <si>
    <t>skill1 | skill2 | skill3</t>
  </si>
  <si>
    <t>Follow up in December to check in on skill development</t>
  </si>
  <si>
    <t>NOTE-2026-004</t>
  </si>
  <si>
    <t>2026-06-18 03:54 UTC</t>
  </si>
  <si>
    <t>avery</t>
  </si>
  <si>
    <t>Matched on partial full name: Avery Martinez</t>
  </si>
  <si>
    <t>Showing 3 of 3 conversations, most recent first.</t>
  </si>
  <si>
    <t>2026-06-18 03:54 U C</t>
  </si>
  <si>
    <t>Director, Data Platform (REQ-2026-0198)</t>
  </si>
  <si>
    <t>Other | Next: Follow up</t>
  </si>
  <si>
    <t>Desired roles: test | Skills: skill1 | skill2 | skill3 | Notes: Follow up in December to check in on skill development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</si>
</sst>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name val="Carlito"/>
    </font>
    <font>
      <b/>
      <sz val="20"/>
      <color rgb="FFFFFFFF"/>
      <name val="Carlito"/>
    </font>
    <font>
      <sz val="11"/>
      <color rgb="FF475569"/>
      <name val="Carlito"/>
    </font>
    <font>
      <b/>
      <sz val="13"/>
      <color rgb="FFFFFFFF"/>
      <name val="Carlito"/>
    </font>
    <font>
      <b/>
      <sz val="10"/>
      <color rgb="FF475569"/>
      <name val="Carlito"/>
    </font>
    <font>
      <sz val="11"/>
      <color rgb="FF111827"/>
      <name val="Carlito"/>
    </font>
    <font>
      <i/>
      <sz val="10"/>
      <color rgb="FF475569"/>
      <name val="Carlito"/>
    </font>
    <font>
      <b/>
      <sz val="10"/>
      <color rgb="FFFFFFFF"/>
      <name val="Carlito"/>
    </font>
    <font>
      <sz val="10"/>
      <color rgb="FF111827"/>
      <name val="Carlito"/>
    </font>
    <font>
      <b/>
      <sz val="18"/>
      <color rgb="FFFFFFFF"/>
      <name val="Carlito"/>
    </font>
    <font>
      <b/>
      <sz val="11"/>
      <color rgb="FFFFFFFF"/>
      <name val="Carlito"/>
    </font>
    <font>
      <b/>
      <sz val="11"/>
      <color rgb="FF475569"/>
      <name val="Carlito"/>
    </font>
  </fonts>
  <fills count="10">
    <fill>
      <patternFill patternType="none"/>
    </fill>
    <fill>
      <patternFill patternType="gray125"/>
    </fill>
    <fill>
      <patternFill patternType="solid">
        <fgColor rgb="FF243746"/>
      </patternFill>
    </fill>
    <fill>
      <patternFill patternType="solid">
        <fgColor rgb="FFE7F3F1"/>
      </patternFill>
    </fill>
    <fill>
      <patternFill patternType="solid">
        <fgColor rgb="FFF3F6F8"/>
      </patternFill>
    </fill>
    <fill>
      <patternFill patternType="solid">
        <fgColor rgb="FFFFF7ED"/>
      </patternFill>
    </fill>
    <fill>
      <patternFill patternType="solid">
        <fgColor rgb="FFEAF2F8"/>
      </patternFill>
    </fill>
    <fill>
      <patternFill patternType="solid">
        <fgColor rgb="FFFFFFFF"/>
      </patternFill>
    </fill>
    <fill>
      <patternFill patternType="solid">
        <fgColor rgb="FF2F5D7C"/>
      </patternFill>
    </fill>
    <fill>
      <patternFill patternType="solid">
        <fgColor rgb="FF0F766E"/>
      </patternFill>
    </fill>
  </fills>
  <borders count="16">
    <border>
      <left/>
      <right/>
      <top/>
      <bottom/>
      <diagonal/>
    </border>
    <border>
      <left style="thin">
        <color rgb="FFCBD5E1"/>
      </left>
      <right style="thin">
        <color rgb="FFCBD5E1"/>
      </right>
      <top style="thin">
        <color rgb="FFCBD5E1"/>
      </top>
      <bottom style="thin">
        <color rgb="FFCBD5E1"/>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CBD5E1"/>
      </left>
      <right/>
      <top style="thin">
        <color rgb="FFCBD5E1"/>
      </top>
      <bottom/>
      <diagonal/>
    </border>
    <border>
      <left/>
      <right/>
      <top style="thin">
        <color rgb="FFCBD5E1"/>
      </top>
      <bottom/>
      <diagonal/>
    </border>
    <border>
      <left/>
      <right style="thin">
        <color rgb="FFCBD5E1"/>
      </right>
      <top style="thin">
        <color rgb="FFCBD5E1"/>
      </top>
      <bottom/>
      <diagonal/>
    </border>
    <border>
      <left style="thin">
        <color rgb="FFCBD5E1"/>
      </left>
      <right/>
      <top/>
      <bottom/>
      <diagonal/>
    </border>
    <border>
      <left/>
      <right style="thin">
        <color rgb="FFCBD5E1"/>
      </right>
      <top/>
      <bottom/>
      <diagonal/>
    </border>
    <border>
      <left style="thin">
        <color rgb="FFCBD5E1"/>
      </left>
      <right/>
      <top/>
      <bottom style="thin">
        <color rgb="FFCBD5E1"/>
      </bottom>
      <diagonal/>
    </border>
    <border>
      <left/>
      <right/>
      <top/>
      <bottom style="thin">
        <color rgb="FFCBD5E1"/>
      </bottom>
      <diagonal/>
    </border>
    <border>
      <left/>
      <right style="thin">
        <color rgb="FFCBD5E1"/>
      </right>
      <top/>
      <bottom style="thin">
        <color rgb="FFCBD5E1"/>
      </bottom>
      <diagonal/>
    </border>
    <border>
      <left style="thin">
        <color rgb="FFCBD5E1"/>
      </left>
      <right style="thin">
        <color rgb="FFCBD5E1"/>
      </right>
      <top style="thin">
        <color rgb="FFCBD5E1"/>
      </top>
      <bottom/>
      <diagonal/>
    </border>
    <border>
      <left style="thin">
        <color rgb="FFCBD5E1"/>
      </left>
      <right style="thin">
        <color rgb="FFCBD5E1"/>
      </right>
      <top/>
      <bottom/>
      <diagonal/>
    </border>
    <border>
      <left style="thin">
        <color rgb="FFCBD5E1"/>
      </left>
      <right style="thin">
        <color rgb="FFCBD5E1"/>
      </right>
      <top/>
      <bottom style="thin">
        <color rgb="FFCBD5E1"/>
      </bottom>
      <diagonal/>
    </border>
  </borders>
  <cellStyleXfs count="1">
    <xf numFmtId="0" fontId="0" fillId="0" borderId="0"/>
  </cellStyleXfs>
  <cellXfs count="70">
    <xf numFmtId="0" fontId="0" fillId="0" borderId="0" xfId="0"/>
    <xf numFmtId="0" fontId="4" fillId="4" borderId="1" xfId="0" applyFont="1" applyFill="1" applyBorder="1" applyAlignment="1">
      <alignment vertical="center" wrapText="1"/>
    </xf>
    <xf numFmtId="0" fontId="7" fillId="2" borderId="0" xfId="0" applyFont="1" applyFill="1" applyAlignment="1">
      <alignment horizontal="center" vertical="center" wrapText="1"/>
    </xf>
    <xf numFmtId="49" fontId="7" fillId="2" borderId="0" xfId="0" applyNumberFormat="1" applyFont="1" applyFill="1" applyAlignment="1">
      <alignment horizontal="center" vertical="center" wrapText="1"/>
    </xf>
    <xf numFmtId="0" fontId="8" fillId="7" borderId="5" xfId="0" applyFont="1" applyFill="1" applyBorder="1" applyAlignment="1">
      <alignment vertical="top" wrapText="1"/>
    </xf>
    <xf numFmtId="0" fontId="8" fillId="7" borderId="6" xfId="0" applyFont="1" applyFill="1" applyBorder="1" applyAlignment="1">
      <alignment vertical="top" wrapText="1"/>
    </xf>
    <xf numFmtId="0" fontId="8" fillId="7" borderId="7" xfId="0" applyFont="1" applyFill="1" applyBorder="1" applyAlignment="1">
      <alignment vertical="top" wrapText="1"/>
    </xf>
    <xf numFmtId="0" fontId="8" fillId="7" borderId="8" xfId="0" applyFont="1" applyFill="1" applyBorder="1" applyAlignment="1">
      <alignment vertical="top" wrapText="1"/>
    </xf>
    <xf numFmtId="0" fontId="8" fillId="7" borderId="0" xfId="0" applyFont="1" applyFill="1" applyAlignment="1">
      <alignment vertical="top" wrapText="1"/>
    </xf>
    <xf numFmtId="0" fontId="8" fillId="7" borderId="9" xfId="0" applyFont="1" applyFill="1" applyBorder="1" applyAlignment="1">
      <alignment vertical="top" wrapText="1"/>
    </xf>
    <xf numFmtId="0" fontId="8" fillId="7" borderId="10" xfId="0" applyFont="1" applyFill="1" applyBorder="1" applyAlignment="1">
      <alignment vertical="top" wrapText="1"/>
    </xf>
    <xf numFmtId="0" fontId="8" fillId="7" borderId="11" xfId="0" applyFont="1" applyFill="1" applyBorder="1" applyAlignment="1">
      <alignment vertical="top" wrapText="1"/>
    </xf>
    <xf numFmtId="0" fontId="8" fillId="7" borderId="12" xfId="0" applyFont="1" applyFill="1" applyBorder="1" applyAlignment="1">
      <alignment vertical="top" wrapText="1"/>
    </xf>
    <xf numFmtId="0" fontId="7" fillId="9" borderId="0" xfId="0" applyFont="1" applyFill="1" applyAlignment="1">
      <alignment horizontal="center" vertical="center" wrapText="1"/>
    </xf>
    <xf numFmtId="0" fontId="10" fillId="8" borderId="0" xfId="0" applyFont="1" applyFill="1" applyAlignment="1">
      <alignment horizontal="center"/>
    </xf>
    <xf numFmtId="0" fontId="0" fillId="0" borderId="5" xfId="0"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0" fontId="0" fillId="0" borderId="0" xfId="0" applyAlignment="1">
      <alignment wrapText="1"/>
    </xf>
    <xf numFmtId="0" fontId="0" fillId="0" borderId="9" xfId="0" applyBorder="1" applyAlignment="1">
      <alignment wrapText="1"/>
    </xf>
    <xf numFmtId="0" fontId="0" fillId="0" borderId="10" xfId="0" applyBorder="1" applyAlignment="1">
      <alignment wrapText="1"/>
    </xf>
    <xf numFmtId="0" fontId="0" fillId="0" borderId="11" xfId="0" applyBorder="1" applyAlignment="1">
      <alignment wrapText="1"/>
    </xf>
    <xf numFmtId="0" fontId="0" fillId="0" borderId="12" xfId="0" applyBorder="1" applyAlignment="1">
      <alignment wrapText="1"/>
    </xf>
    <xf numFmtId="0" fontId="10" fillId="8" borderId="0" xfId="0" applyFont="1" applyFill="1" applyAlignment="1">
      <alignment vertical="center"/>
    </xf>
    <xf numFmtId="0" fontId="5" fillId="5" borderId="1" xfId="0" applyFont="1" applyFill="1" applyBorder="1" applyAlignment="1">
      <alignment vertical="center"/>
    </xf>
    <xf numFmtId="0" fontId="11" fillId="4" borderId="13" xfId="0" applyFont="1" applyFill="1" applyBorder="1" applyAlignment="1">
      <alignment vertical="top" wrapText="1"/>
    </xf>
    <xf numFmtId="0" fontId="11" fillId="4" borderId="14" xfId="0" applyFont="1" applyFill="1" applyBorder="1" applyAlignment="1">
      <alignment vertical="top" wrapText="1"/>
    </xf>
    <xf numFmtId="0" fontId="11" fillId="4" borderId="15" xfId="0" applyFont="1" applyFill="1" applyBorder="1" applyAlignment="1">
      <alignment vertical="top" wrapText="1"/>
    </xf>
    <xf numFmtId="0" fontId="5" fillId="7" borderId="13" xfId="0" applyFont="1" applyFill="1" applyBorder="1" applyAlignment="1">
      <alignment vertical="top" wrapText="1"/>
    </xf>
    <xf numFmtId="0" fontId="5" fillId="7" borderId="14" xfId="0" applyFont="1" applyFill="1" applyBorder="1" applyAlignment="1">
      <alignment vertical="top" wrapText="1"/>
    </xf>
    <xf numFmtId="0" fontId="5" fillId="7" borderId="15" xfId="0" applyFont="1" applyFill="1" applyBorder="1" applyAlignment="1">
      <alignment vertical="top" wrapText="1"/>
    </xf>
    <xf numFmtId="164" fontId="7" fillId="2" borderId="0" xfId="0" applyNumberFormat="1" applyFont="1" applyFill="1" applyAlignment="1">
      <alignment horizontal="center" vertical="center" wrapText="1"/>
    </xf>
    <xf numFmtId="164" fontId="7" fillId="9" borderId="0" xfId="0" applyNumberFormat="1" applyFont="1" applyFill="1" applyAlignment="1">
      <alignment horizontal="center" vertical="center" wrapText="1"/>
    </xf>
    <xf numFmtId="0" fontId="1" fillId="2" borderId="0" xfId="0" applyFont="1" applyFill="1" applyAlignment="1">
      <alignment horizontal="left" vertical="center"/>
    </xf>
    <xf numFmtId="0" fontId="2" fillId="3" borderId="0" xfId="0" applyFont="1" applyFill="1" applyAlignment="1">
      <alignment vertical="center"/>
    </xf>
    <xf numFmtId="0" fontId="3" fillId="2" borderId="0" xfId="0" applyFont="1" applyFill="1" applyAlignment="1">
      <alignment horizontal="left" vertical="center"/>
    </xf>
    <xf numFmtId="0" fontId="5" fillId="5" borderId="2" xfId="0" applyFont="1" applyFill="1" applyBorder="1" applyAlignment="1">
      <alignment vertical="top" wrapText="1"/>
    </xf>
    <xf numFmtId="0" fontId="5" fillId="5" borderId="3" xfId="0" applyFont="1" applyFill="1" applyBorder="1" applyAlignment="1">
      <alignment vertical="top" wrapText="1"/>
    </xf>
    <xf numFmtId="0" fontId="5" fillId="5" borderId="4" xfId="0" applyFont="1" applyFill="1" applyBorder="1" applyAlignment="1">
      <alignment vertical="top" wrapText="1"/>
    </xf>
    <xf numFmtId="0" fontId="5" fillId="6" borderId="2" xfId="0" applyFont="1" applyFill="1" applyBorder="1" applyAlignment="1">
      <alignment vertical="top" wrapText="1"/>
    </xf>
    <xf numFmtId="0" fontId="5" fillId="6" borderId="3" xfId="0" applyFont="1" applyFill="1" applyBorder="1" applyAlignment="1">
      <alignment vertical="top" wrapText="1"/>
    </xf>
    <xf numFmtId="0" fontId="5" fillId="6" borderId="4" xfId="0" applyFont="1" applyFill="1" applyBorder="1" applyAlignment="1">
      <alignment vertical="top" wrapText="1"/>
    </xf>
    <xf numFmtId="0" fontId="5" fillId="7" borderId="2" xfId="0" applyFont="1" applyFill="1" applyBorder="1" applyAlignment="1">
      <alignment vertical="top" wrapText="1"/>
    </xf>
    <xf numFmtId="0" fontId="5" fillId="7" borderId="4" xfId="0" applyFont="1" applyFill="1" applyBorder="1" applyAlignment="1">
      <alignment vertical="top" wrapText="1"/>
    </xf>
    <xf numFmtId="164" fontId="5" fillId="7" borderId="2" xfId="0" applyNumberFormat="1" applyFont="1" applyFill="1" applyBorder="1" applyAlignment="1">
      <alignment vertical="top" wrapText="1"/>
    </xf>
    <xf numFmtId="164" fontId="5" fillId="7" borderId="3" xfId="0" applyNumberFormat="1" applyFont="1" applyFill="1" applyBorder="1" applyAlignment="1">
      <alignment vertical="top" wrapText="1"/>
    </xf>
    <xf numFmtId="164" fontId="5" fillId="7" borderId="4" xfId="0" applyNumberFormat="1" applyFont="1" applyFill="1" applyBorder="1" applyAlignment="1">
      <alignment vertical="top" wrapText="1"/>
    </xf>
    <xf numFmtId="0" fontId="5" fillId="7" borderId="3" xfId="0" applyFont="1" applyFill="1" applyBorder="1" applyAlignment="1">
      <alignment vertical="top" wrapText="1"/>
    </xf>
    <xf numFmtId="0" fontId="5" fillId="7" borderId="5" xfId="0" applyFont="1" applyFill="1" applyBorder="1" applyAlignment="1">
      <alignment vertical="top" wrapText="1"/>
    </xf>
    <xf numFmtId="0" fontId="5" fillId="7" borderId="6" xfId="0" applyFont="1" applyFill="1" applyBorder="1" applyAlignment="1">
      <alignment vertical="top" wrapText="1"/>
    </xf>
    <xf numFmtId="0" fontId="5" fillId="7" borderId="7" xfId="0" applyFont="1" applyFill="1" applyBorder="1" applyAlignment="1">
      <alignment vertical="top" wrapText="1"/>
    </xf>
    <xf numFmtId="0" fontId="5" fillId="7" borderId="8" xfId="0" applyFont="1" applyFill="1" applyBorder="1" applyAlignment="1">
      <alignment vertical="top" wrapText="1"/>
    </xf>
    <xf numFmtId="0" fontId="5" fillId="7" borderId="0" xfId="0" applyFont="1" applyFill="1" applyAlignment="1">
      <alignment vertical="top" wrapText="1"/>
    </xf>
    <xf numFmtId="0" fontId="5" fillId="7" borderId="9" xfId="0" applyFont="1" applyFill="1" applyBorder="1" applyAlignment="1">
      <alignment vertical="top" wrapText="1"/>
    </xf>
    <xf numFmtId="0" fontId="5" fillId="7" borderId="10" xfId="0" applyFont="1" applyFill="1" applyBorder="1" applyAlignment="1">
      <alignment vertical="top" wrapText="1"/>
    </xf>
    <xf numFmtId="0" fontId="5" fillId="7" borderId="11" xfId="0" applyFont="1" applyFill="1" applyBorder="1" applyAlignment="1">
      <alignment vertical="top" wrapText="1"/>
    </xf>
    <xf numFmtId="0" fontId="5" fillId="7" borderId="12" xfId="0" applyFont="1" applyFill="1" applyBorder="1" applyAlignment="1">
      <alignment vertical="top" wrapText="1"/>
    </xf>
    <xf numFmtId="0" fontId="6" fillId="3" borderId="2" xfId="0" applyFont="1" applyFill="1" applyBorder="1" applyAlignment="1">
      <alignment vertical="center" wrapText="1"/>
    </xf>
    <xf numFmtId="0" fontId="6" fillId="3" borderId="3" xfId="0" applyFont="1" applyFill="1" applyBorder="1" applyAlignment="1">
      <alignment vertical="center" wrapText="1"/>
    </xf>
    <xf numFmtId="0" fontId="6" fillId="3" borderId="4" xfId="0" applyFont="1" applyFill="1" applyBorder="1" applyAlignment="1">
      <alignment vertical="center" wrapText="1"/>
    </xf>
    <xf numFmtId="0" fontId="7" fillId="8" borderId="1" xfId="0" applyFont="1" applyFill="1" applyBorder="1" applyAlignment="1">
      <alignment horizontal="left" vertical="center" wrapText="1"/>
    </xf>
    <xf numFmtId="0" fontId="8" fillId="7" borderId="1" xfId="0" applyFont="1" applyFill="1" applyBorder="1" applyAlignment="1">
      <alignment vertical="top" wrapText="1"/>
    </xf>
    <xf numFmtId="0" fontId="6" fillId="7" borderId="1" xfId="0" applyFont="1" applyFill="1" applyBorder="1" applyAlignment="1">
      <alignment vertical="top" wrapText="1"/>
    </xf>
    <xf numFmtId="0" fontId="8" fillId="4" borderId="1" xfId="0" applyFont="1" applyFill="1" applyBorder="1" applyAlignment="1">
      <alignment vertical="top" wrapText="1"/>
    </xf>
    <xf numFmtId="0" fontId="6" fillId="4" borderId="1" xfId="0" applyFont="1" applyFill="1" applyBorder="1" applyAlignment="1">
      <alignment vertical="top" wrapText="1"/>
    </xf>
    <xf numFmtId="0" fontId="9" fillId="2" borderId="0" xfId="0" applyFont="1" applyFill="1" applyAlignment="1">
      <alignment vertical="center"/>
    </xf>
    <xf numFmtId="14" fontId="5" fillId="6" borderId="2" xfId="0" applyNumberFormat="1" applyFont="1" applyFill="1" applyBorder="1" applyAlignment="1">
      <alignment vertical="top" wrapText="1"/>
    </xf>
    <xf numFmtId="0" fontId="8" fillId="7" borderId="0" xfId="0" applyFont="1" applyFill="1" applyBorder="1" applyAlignment="1">
      <alignment vertical="top" wrapText="1"/>
    </xf>
    <xf numFmtId="14" fontId="8" fillId="7" borderId="0" xfId="0" applyNumberFormat="1"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ndidateNotes" displayName="tblCandidateNotes" ref="A1:AK5">
  <tableColumns count="37">
    <tableColumn id="1" xr3:uid="{00000000-0010-0000-0000-000001000000}" name="submission_id"/>
    <tableColumn id="2" xr3:uid="{00000000-0010-0000-0000-000002000000}" name="conversation_datetime"/>
    <tableColumn id="3" xr3:uid="{00000000-0010-0000-0000-000003000000}" name="submitted_by"/>
    <tableColumn id="4" xr3:uid="{00000000-0010-0000-0000-000004000000}" name="candidate_lookup_key"/>
    <tableColumn id="5" xr3:uid="{00000000-0010-0000-0000-000005000000}" name="candidate_lookup_status"/>
    <tableColumn id="6" xr3:uid="{00000000-0010-0000-0000-000006000000}" name="employee_id"/>
    <tableColumn id="7" xr3:uid="{00000000-0010-0000-0000-000007000000}" name="mm_id"/>
    <tableColumn id="8" xr3:uid="{00000000-0010-0000-0000-000008000000}" name="full_name"/>
    <tableColumn id="9" xr3:uid="{00000000-0010-0000-0000-000009000000}" name="business_title"/>
    <tableColumn id="10" xr3:uid="{00000000-0010-0000-0000-00000A000000}" name="recent_hire_date"/>
    <tableColumn id="11" xr3:uid="{00000000-0010-0000-0000-00000B000000}" name="location"/>
    <tableColumn id="12" xr3:uid="{00000000-0010-0000-0000-00000C000000}" name="job_profile"/>
    <tableColumn id="13" xr3:uid="{00000000-0010-0000-0000-00000D000000}" name="management_level"/>
    <tableColumn id="14" xr3:uid="{00000000-0010-0000-0000-00000E000000}" name="manager_full_name"/>
    <tableColumn id="15" xr3:uid="{00000000-0010-0000-0000-00000F000000}" name="business_group"/>
    <tableColumn id="16" xr3:uid="{00000000-0010-0000-0000-000010000000}" name="sub_business_group"/>
    <tableColumn id="17" xr3:uid="{00000000-0010-0000-0000-000011000000}" name="division"/>
    <tableColumn id="18" xr3:uid="{00000000-0010-0000-0000-000012000000}" name="requisition_lookup_key"/>
    <tableColumn id="19" xr3:uid="{00000000-0010-0000-0000-000013000000}" name="requisition_lookup_status"/>
    <tableColumn id="20" xr3:uid="{00000000-0010-0000-0000-000014000000}" name="requisition_id"/>
    <tableColumn id="21" xr3:uid="{00000000-0010-0000-0000-000015000000}" name="job_posting_title"/>
    <tableColumn id="22" xr3:uid="{00000000-0010-0000-0000-000016000000}" name="primary_recruiter"/>
    <tableColumn id="23" xr3:uid="{00000000-0010-0000-0000-000017000000}" name="requisition_location"/>
    <tableColumn id="24" xr3:uid="{00000000-0010-0000-0000-000018000000}" name="hiring_managers"/>
    <tableColumn id="25" xr3:uid="{00000000-0010-0000-0000-000019000000}" name="requisition_job_profile"/>
    <tableColumn id="26" xr3:uid="{00000000-0010-0000-0000-00001A000000}" name="job_description"/>
    <tableColumn id="27" xr3:uid="{00000000-0010-0000-0000-00001B000000}" name="stage"/>
    <tableColumn id="28" xr3:uid="{00000000-0010-0000-0000-00001C000000}" name="screener"/>
    <tableColumn id="29" xr3:uid="{00000000-0010-0000-0000-00001D000000}" name="screen_date"/>
    <tableColumn id="30" xr3:uid="{00000000-0010-0000-0000-00001E000000}" name="next_step"/>
    <tableColumn id="31" xr3:uid="{00000000-0010-0000-0000-00001F000000}" name="desired_roles"/>
    <tableColumn id="32" xr3:uid="{00000000-0010-0000-0000-000020000000}" name="desired_function"/>
    <tableColumn id="33" xr3:uid="{00000000-0010-0000-0000-000021000000}" name="mobility_interest"/>
    <tableColumn id="34" xr3:uid="{00000000-0010-0000-0000-000022000000}" name="skills_chain"/>
    <tableColumn id="35" xr3:uid="{00000000-0010-0000-0000-000023000000}" name="career_profile_complete"/>
    <tableColumn id="36" xr3:uid="{00000000-0010-0000-0000-000024000000}" name="development_goals_documented"/>
    <tableColumn id="37" xr3:uid="{00000000-0010-0000-0000-000025000000}" name="recruiter_synthesis_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HdEmployees" displayName="tblHdEmployees" ref="A1:L7">
  <tableColumns count="12">
    <tableColumn id="1" xr3:uid="{00000000-0010-0000-0100-000001000000}" name="employee_id"/>
    <tableColumn id="2" xr3:uid="{00000000-0010-0000-0100-000002000000}" name="mm_id"/>
    <tableColumn id="3" xr3:uid="{00000000-0010-0000-0100-000003000000}" name="full_name"/>
    <tableColumn id="4" xr3:uid="{00000000-0010-0000-0100-000004000000}" name="business_title"/>
    <tableColumn id="5" xr3:uid="{00000000-0010-0000-0100-000005000000}" name="recent_hire_date"/>
    <tableColumn id="6" xr3:uid="{00000000-0010-0000-0100-000006000000}" name="location"/>
    <tableColumn id="7" xr3:uid="{00000000-0010-0000-0100-000007000000}" name="job_profile"/>
    <tableColumn id="8" xr3:uid="{00000000-0010-0000-0100-000008000000}" name="management_level"/>
    <tableColumn id="9" xr3:uid="{00000000-0010-0000-0100-000009000000}" name="manager_full_name"/>
    <tableColumn id="10" xr3:uid="{00000000-0010-0000-0100-00000A000000}" name="business_group"/>
    <tableColumn id="11" xr3:uid="{00000000-0010-0000-0100-00000B000000}" name="sub_business_group"/>
    <tableColumn id="12" xr3:uid="{00000000-0010-0000-0100-00000C000000}" name="divis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dRequisitions" displayName="tblHdRequisitions" ref="A1:P4">
  <tableColumns count="16">
    <tableColumn id="1" xr3:uid="{00000000-0010-0000-0200-000001000000}" name="Position_Worker_Type"/>
    <tableColumn id="2" xr3:uid="{00000000-0010-0000-0200-000002000000}" name="Job_Requisition_Status"/>
    <tableColumn id="3" xr3:uid="{00000000-0010-0000-0200-000003000000}" name="Requisition_ID"/>
    <tableColumn id="4" xr3:uid="{00000000-0010-0000-0200-000004000000}" name="Job_Posting_Title"/>
    <tableColumn id="5" xr3:uid="{00000000-0010-0000-0200-000005000000}" name="Add_to_Staff_or_Replacement"/>
    <tableColumn id="6" xr3:uid="{00000000-0010-0000-0200-000006000000}" name="Job_Level"/>
    <tableColumn id="7" xr3:uid="{00000000-0010-0000-0200-000007000000}" name="Number_of_Openings_Available"/>
    <tableColumn id="8" xr3:uid="{00000000-0010-0000-0200-000008000000}" name="BG"/>
    <tableColumn id="9" xr3:uid="{00000000-0010-0000-0200-000009000000}" name="SBU"/>
    <tableColumn id="10" xr3:uid="{00000000-0010-0000-0200-00000A000000}" name="DIV"/>
    <tableColumn id="11" xr3:uid="{00000000-0010-0000-0200-00000B000000}" name="Supervisory_Organization"/>
    <tableColumn id="12" xr3:uid="{00000000-0010-0000-0200-00000C000000}" name="Primary_Recruiter"/>
    <tableColumn id="13" xr3:uid="{00000000-0010-0000-0200-00000D000000}" name="Location"/>
    <tableColumn id="14" xr3:uid="{00000000-0010-0000-0200-00000E000000}" name="Hiring_Managers"/>
    <tableColumn id="15" xr3:uid="{00000000-0010-0000-0200-00000F000000}" name="job_description"/>
    <tableColumn id="16" xr3:uid="{00000000-0010-0000-0200-000010000000}" name="Job_Profil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K67"/>
  <sheetViews>
    <sheetView showGridLines="0" tabSelected="1" workbookViewId="0">
      <selection activeCell="D17" sqref="D17"/>
    </sheetView>
  </sheetViews>
  <sheetFormatPr baseColWidth="10" defaultColWidth="8.83203125" defaultRowHeight="14"/>
  <cols>
    <col min="1" max="1" width="2.6640625" customWidth="1"/>
    <col min="2" max="2" width="15.83203125" customWidth="1"/>
    <col min="3" max="4" width="14.1640625" customWidth="1"/>
    <col min="5" max="11" width="14" customWidth="1"/>
    <col min="12" max="12" width="2.6640625" customWidth="1"/>
  </cols>
  <sheetData>
    <row r="1" spans="2:11" ht="13.5" customHeight="1"/>
    <row r="2" spans="2:11" ht="30" customHeight="1">
      <c r="B2" s="34" t="s">
        <v>0</v>
      </c>
      <c r="C2" s="34"/>
      <c r="D2" s="34"/>
      <c r="E2" s="34"/>
      <c r="F2" s="34"/>
      <c r="G2" s="34"/>
      <c r="H2" s="34"/>
      <c r="I2" s="34"/>
      <c r="J2" s="34"/>
      <c r="K2" s="34"/>
    </row>
    <row r="3" spans="2:11" ht="18" customHeight="1">
      <c r="B3" s="35" t="s">
        <v>1</v>
      </c>
      <c r="C3" s="35"/>
      <c r="D3" s="35"/>
      <c r="E3" s="35"/>
      <c r="F3" s="35"/>
      <c r="G3" s="35"/>
      <c r="H3" s="35"/>
      <c r="I3" s="35"/>
      <c r="J3" s="35"/>
      <c r="K3" s="35"/>
    </row>
    <row r="4" spans="2:11" ht="12" customHeight="1"/>
    <row r="5" spans="2:11" ht="21" customHeight="1">
      <c r="B5" s="36" t="s">
        <v>2</v>
      </c>
      <c r="C5" s="36"/>
      <c r="D5" s="36"/>
      <c r="E5" s="36"/>
      <c r="F5" s="36"/>
      <c r="G5" s="36"/>
      <c r="H5" s="36"/>
      <c r="I5" s="36"/>
      <c r="J5" s="36"/>
      <c r="K5" s="36"/>
    </row>
    <row r="6" spans="2:11" ht="9" customHeight="1"/>
    <row r="7" spans="2:11" ht="28.5" customHeight="1">
      <c r="B7" s="1" t="s">
        <v>3</v>
      </c>
      <c r="C7" s="37" t="s">
        <v>265</v>
      </c>
      <c r="D7" s="38"/>
      <c r="E7" s="38"/>
      <c r="F7" s="39"/>
      <c r="G7" s="1" t="s">
        <v>4</v>
      </c>
      <c r="H7" s="40" t="s">
        <v>266</v>
      </c>
      <c r="I7" s="41"/>
      <c r="J7" s="41"/>
      <c r="K7" s="42"/>
    </row>
    <row r="8" spans="2:11" ht="9" customHeight="1"/>
    <row r="9" spans="2:11" ht="25.5" customHeight="1">
      <c r="B9" s="1" t="s">
        <v>5</v>
      </c>
      <c r="C9" s="40" t="s">
        <v>86</v>
      </c>
      <c r="D9" s="42"/>
      <c r="E9" s="1" t="s">
        <v>6</v>
      </c>
      <c r="F9" s="40">
        <v>100245</v>
      </c>
      <c r="G9" s="42"/>
      <c r="H9" s="1" t="s">
        <v>7</v>
      </c>
      <c r="I9" s="40" t="s">
        <v>85</v>
      </c>
      <c r="J9" s="41"/>
      <c r="K9" s="42"/>
    </row>
    <row r="10" spans="2:11" ht="25.5" customHeight="1"/>
    <row r="11" spans="2:11" ht="25.5" customHeight="1">
      <c r="B11" s="1" t="s">
        <v>8</v>
      </c>
      <c r="C11" s="40" t="s">
        <v>87</v>
      </c>
      <c r="D11" s="42"/>
      <c r="E11" s="1" t="s">
        <v>9</v>
      </c>
      <c r="F11" s="67">
        <v>44424</v>
      </c>
      <c r="G11" s="42"/>
      <c r="H11" s="1" t="s">
        <v>10</v>
      </c>
      <c r="I11" s="40" t="s">
        <v>89</v>
      </c>
      <c r="J11" s="41"/>
      <c r="K11" s="42"/>
    </row>
    <row r="12" spans="2:11" ht="25.5" customHeight="1"/>
    <row r="13" spans="2:11" ht="25.5" customHeight="1">
      <c r="B13" s="1" t="s">
        <v>11</v>
      </c>
      <c r="C13" s="40" t="s">
        <v>90</v>
      </c>
      <c r="D13" s="42"/>
      <c r="E13" s="1" t="s">
        <v>12</v>
      </c>
      <c r="F13" s="40" t="s">
        <v>91</v>
      </c>
      <c r="G13" s="42"/>
      <c r="H13" s="1" t="s">
        <v>13</v>
      </c>
      <c r="I13" s="40" t="s">
        <v>92</v>
      </c>
      <c r="J13" s="41"/>
      <c r="K13" s="42"/>
    </row>
    <row r="14" spans="2:11" ht="25.5" customHeight="1"/>
    <row r="15" spans="2:11" ht="25.5" customHeight="1">
      <c r="B15" s="1" t="s">
        <v>14</v>
      </c>
      <c r="C15" s="40" t="s">
        <v>93</v>
      </c>
      <c r="D15" s="42"/>
      <c r="E15" s="1" t="s">
        <v>15</v>
      </c>
      <c r="F15" s="40" t="s">
        <v>94</v>
      </c>
      <c r="G15" s="42"/>
      <c r="H15" s="1" t="s">
        <v>16</v>
      </c>
      <c r="I15" s="40" t="s">
        <v>95</v>
      </c>
      <c r="J15" s="41"/>
      <c r="K15" s="42"/>
    </row>
    <row r="16" spans="2:11" ht="25.5" customHeight="1"/>
    <row r="17" spans="2:11" ht="25.5" customHeight="1"/>
    <row r="18" spans="2:11" ht="10.5" customHeight="1"/>
    <row r="19" spans="2:11" ht="21" customHeight="1">
      <c r="B19" s="36" t="s">
        <v>17</v>
      </c>
      <c r="C19" s="36"/>
      <c r="D19" s="36"/>
      <c r="E19" s="36"/>
      <c r="F19" s="36"/>
      <c r="G19" s="36"/>
      <c r="H19" s="36"/>
      <c r="I19" s="36"/>
      <c r="J19" s="36"/>
      <c r="K19" s="36"/>
    </row>
    <row r="20" spans="2:11" ht="9" customHeight="1"/>
    <row r="21" spans="2:11" ht="27" customHeight="1">
      <c r="B21" s="1" t="s">
        <v>18</v>
      </c>
      <c r="C21" s="37"/>
      <c r="D21" s="38"/>
      <c r="E21" s="38"/>
      <c r="F21" s="39"/>
      <c r="G21" s="1" t="s">
        <v>19</v>
      </c>
      <c r="H21" s="40"/>
      <c r="I21" s="41"/>
      <c r="J21" s="41"/>
      <c r="K21" s="42"/>
    </row>
    <row r="22" spans="2:11" ht="27" customHeight="1"/>
    <row r="23" spans="2:11" ht="27" customHeight="1">
      <c r="B23" s="1" t="s">
        <v>20</v>
      </c>
      <c r="C23" s="40"/>
      <c r="D23" s="42"/>
      <c r="E23" s="1" t="s">
        <v>21</v>
      </c>
      <c r="F23" s="40"/>
      <c r="G23" s="42"/>
      <c r="H23" s="1" t="s">
        <v>11</v>
      </c>
      <c r="I23" s="40"/>
      <c r="J23" s="42"/>
    </row>
    <row r="24" spans="2:11" ht="27" customHeight="1"/>
    <row r="25" spans="2:11" ht="27" customHeight="1">
      <c r="B25" s="1" t="s">
        <v>22</v>
      </c>
      <c r="C25" s="40"/>
      <c r="D25" s="42"/>
      <c r="E25" s="1" t="s">
        <v>10</v>
      </c>
      <c r="F25" s="40"/>
      <c r="G25" s="42"/>
      <c r="H25" s="1" t="s">
        <v>23</v>
      </c>
      <c r="I25" s="40"/>
      <c r="J25" s="41"/>
      <c r="K25" s="42"/>
    </row>
    <row r="26" spans="2:11" ht="7.5" customHeight="1"/>
    <row r="27" spans="2:11" ht="58" customHeight="1">
      <c r="B27" s="1" t="s">
        <v>24</v>
      </c>
      <c r="C27" s="40"/>
      <c r="D27" s="41"/>
      <c r="E27" s="41"/>
      <c r="F27" s="41"/>
      <c r="G27" s="41"/>
      <c r="H27" s="41"/>
      <c r="I27" s="41"/>
      <c r="J27" s="41"/>
      <c r="K27" s="42"/>
    </row>
    <row r="28" spans="2:11" ht="10.5" customHeight="1"/>
    <row r="29" spans="2:11" ht="6" customHeight="1"/>
    <row r="30" spans="2:11" ht="21" customHeight="1">
      <c r="B30" s="36" t="s">
        <v>25</v>
      </c>
      <c r="C30" s="36"/>
      <c r="D30" s="36"/>
      <c r="E30" s="36"/>
      <c r="F30" s="36"/>
      <c r="G30" s="36"/>
      <c r="H30" s="36"/>
      <c r="I30" s="36"/>
      <c r="J30" s="36"/>
      <c r="K30" s="36"/>
    </row>
    <row r="31" spans="2:11" ht="9" customHeight="1"/>
    <row r="32" spans="2:11" ht="27" customHeight="1">
      <c r="B32" s="1" t="s">
        <v>26</v>
      </c>
      <c r="C32" s="43"/>
      <c r="D32" s="44"/>
      <c r="E32" s="1" t="s">
        <v>27</v>
      </c>
      <c r="F32" s="43" t="str">
        <f>Settings!$C$16</f>
        <v>Recruiter Demo</v>
      </c>
      <c r="G32" s="44"/>
      <c r="H32" s="1" t="s">
        <v>28</v>
      </c>
      <c r="I32" s="45">
        <f ca="1">TODAY()</f>
        <v>46190</v>
      </c>
      <c r="J32" s="46"/>
      <c r="K32" s="47"/>
    </row>
    <row r="33" spans="2:11" ht="27" customHeight="1"/>
    <row r="34" spans="2:11" ht="27" customHeight="1">
      <c r="B34" s="1" t="s">
        <v>29</v>
      </c>
      <c r="C34" s="43"/>
      <c r="D34" s="48"/>
      <c r="E34" s="48"/>
      <c r="F34" s="48"/>
      <c r="G34" s="48"/>
      <c r="H34" s="48"/>
      <c r="I34" s="48"/>
      <c r="J34" s="48"/>
      <c r="K34" s="44"/>
    </row>
    <row r="35" spans="2:11" ht="27" customHeight="1"/>
    <row r="36" spans="2:11" ht="10.5" customHeight="1"/>
    <row r="37" spans="2:11" ht="21" customHeight="1">
      <c r="B37" s="36" t="s">
        <v>30</v>
      </c>
      <c r="C37" s="36"/>
      <c r="D37" s="36"/>
      <c r="E37" s="36"/>
      <c r="F37" s="36"/>
      <c r="G37" s="36"/>
      <c r="H37" s="36"/>
      <c r="I37" s="36"/>
      <c r="J37" s="36"/>
      <c r="K37" s="36"/>
    </row>
    <row r="38" spans="2:11" ht="33" customHeight="1"/>
    <row r="39" spans="2:11" ht="33" customHeight="1">
      <c r="B39" s="1" t="s">
        <v>31</v>
      </c>
      <c r="C39" s="43"/>
      <c r="D39" s="48"/>
      <c r="E39" s="48"/>
      <c r="F39" s="44"/>
      <c r="G39" s="1" t="s">
        <v>32</v>
      </c>
      <c r="H39" s="43"/>
      <c r="I39" s="48"/>
      <c r="J39" s="48"/>
      <c r="K39" s="44"/>
    </row>
    <row r="40" spans="2:11" ht="33" customHeight="1"/>
    <row r="41" spans="2:11" ht="33" customHeight="1">
      <c r="B41" s="1" t="s">
        <v>33</v>
      </c>
      <c r="C41" s="43"/>
      <c r="D41" s="44"/>
      <c r="E41" s="1" t="s">
        <v>34</v>
      </c>
      <c r="F41" s="43"/>
      <c r="G41" s="44"/>
      <c r="H41" s="1" t="s">
        <v>35</v>
      </c>
      <c r="I41" s="43"/>
      <c r="J41" s="48"/>
      <c r="K41" s="44"/>
    </row>
    <row r="42" spans="2:11" ht="33" customHeight="1"/>
    <row r="43" spans="2:11" ht="33" customHeight="1">
      <c r="B43" s="1" t="s">
        <v>36</v>
      </c>
      <c r="C43" s="37"/>
      <c r="D43" s="39"/>
      <c r="E43" s="1" t="s">
        <v>37</v>
      </c>
      <c r="F43" s="40"/>
      <c r="G43" s="41"/>
      <c r="H43" s="41"/>
      <c r="I43" s="41"/>
      <c r="J43" s="41"/>
      <c r="K43" s="42"/>
    </row>
    <row r="44" spans="2:11" ht="10.5" customHeight="1"/>
    <row r="45" spans="2:11" ht="21" customHeight="1">
      <c r="B45" s="36" t="s">
        <v>38</v>
      </c>
      <c r="C45" s="36"/>
      <c r="D45" s="36"/>
      <c r="E45" s="36"/>
      <c r="F45" s="36"/>
      <c r="G45" s="36"/>
      <c r="H45" s="36"/>
      <c r="I45" s="36"/>
      <c r="J45" s="36"/>
      <c r="K45" s="36"/>
    </row>
    <row r="46" spans="2:11" ht="24" customHeight="1">
      <c r="B46" s="49"/>
      <c r="C46" s="50"/>
      <c r="D46" s="50"/>
      <c r="E46" s="50"/>
      <c r="F46" s="50"/>
      <c r="G46" s="50"/>
      <c r="H46" s="50"/>
      <c r="I46" s="50"/>
      <c r="J46" s="50"/>
      <c r="K46" s="51"/>
    </row>
    <row r="47" spans="2:11" ht="24" customHeight="1">
      <c r="B47" s="52"/>
      <c r="C47" s="53"/>
      <c r="D47" s="53"/>
      <c r="E47" s="53"/>
      <c r="F47" s="53"/>
      <c r="G47" s="53"/>
      <c r="H47" s="53"/>
      <c r="I47" s="53"/>
      <c r="J47" s="53"/>
      <c r="K47" s="54"/>
    </row>
    <row r="48" spans="2:11" ht="24" customHeight="1">
      <c r="B48" s="52"/>
      <c r="C48" s="53"/>
      <c r="D48" s="53"/>
      <c r="E48" s="53"/>
      <c r="F48" s="53"/>
      <c r="G48" s="53"/>
      <c r="H48" s="53"/>
      <c r="I48" s="53"/>
      <c r="J48" s="53"/>
      <c r="K48" s="54"/>
    </row>
    <row r="49" spans="2:11" ht="24" customHeight="1">
      <c r="B49" s="52"/>
      <c r="C49" s="53"/>
      <c r="D49" s="53"/>
      <c r="E49" s="53"/>
      <c r="F49" s="53"/>
      <c r="G49" s="53"/>
      <c r="H49" s="53"/>
      <c r="I49" s="53"/>
      <c r="J49" s="53"/>
      <c r="K49" s="54"/>
    </row>
    <row r="50" spans="2:11" ht="24" customHeight="1">
      <c r="B50" s="52"/>
      <c r="C50" s="53"/>
      <c r="D50" s="53"/>
      <c r="E50" s="53"/>
      <c r="F50" s="53"/>
      <c r="G50" s="53"/>
      <c r="H50" s="53"/>
      <c r="I50" s="53"/>
      <c r="J50" s="53"/>
      <c r="K50" s="54"/>
    </row>
    <row r="51" spans="2:11" ht="24" customHeight="1">
      <c r="B51" s="55"/>
      <c r="C51" s="56"/>
      <c r="D51" s="56"/>
      <c r="E51" s="56"/>
      <c r="F51" s="56"/>
      <c r="G51" s="56"/>
      <c r="H51" s="56"/>
      <c r="I51" s="56"/>
      <c r="J51" s="56"/>
      <c r="K51" s="57"/>
    </row>
    <row r="52" spans="2:11" ht="12" customHeight="1"/>
    <row r="53" spans="2:11" ht="21" customHeight="1">
      <c r="B53" s="36" t="s">
        <v>39</v>
      </c>
      <c r="C53" s="36"/>
      <c r="D53" s="36"/>
      <c r="E53" s="36"/>
      <c r="F53" s="36"/>
      <c r="G53" s="36"/>
      <c r="H53" s="36"/>
      <c r="I53" s="36"/>
      <c r="J53" s="36"/>
      <c r="K53" s="36"/>
    </row>
    <row r="54" spans="2:11" ht="25.5" customHeight="1">
      <c r="B54" s="58" t="s">
        <v>267</v>
      </c>
      <c r="C54" s="59"/>
      <c r="D54" s="59"/>
      <c r="E54" s="59"/>
      <c r="F54" s="59"/>
      <c r="G54" s="59"/>
      <c r="H54" s="59"/>
      <c r="I54" s="59"/>
      <c r="J54" s="59"/>
      <c r="K54" s="60"/>
    </row>
    <row r="55" spans="2:11" ht="7.5" customHeight="1"/>
    <row r="56" spans="2:11" ht="22.5" customHeight="1">
      <c r="B56" s="61" t="s">
        <v>40</v>
      </c>
      <c r="C56" s="61"/>
      <c r="D56" s="61" t="s">
        <v>27</v>
      </c>
      <c r="E56" s="61"/>
      <c r="F56" s="61" t="s">
        <v>41</v>
      </c>
      <c r="G56" s="61"/>
      <c r="H56" s="61"/>
      <c r="I56" s="61" t="s">
        <v>42</v>
      </c>
      <c r="J56" s="61"/>
      <c r="K56" s="61"/>
    </row>
    <row r="57" spans="2:11" ht="27" customHeight="1">
      <c r="B57" s="62" t="s">
        <v>268</v>
      </c>
      <c r="C57" s="62"/>
      <c r="D57" s="62" t="s">
        <v>82</v>
      </c>
      <c r="E57" s="62"/>
      <c r="F57" s="62" t="s">
        <v>269</v>
      </c>
      <c r="G57" s="62"/>
      <c r="H57" s="62"/>
      <c r="I57" s="62" t="s">
        <v>270</v>
      </c>
      <c r="J57" s="62"/>
      <c r="K57" s="62"/>
    </row>
    <row r="58" spans="2:11" ht="39" customHeight="1">
      <c r="B58" s="63" t="s">
        <v>271</v>
      </c>
      <c r="C58" s="63"/>
      <c r="D58" s="63"/>
      <c r="E58" s="63"/>
      <c r="F58" s="63"/>
      <c r="G58" s="63"/>
      <c r="H58" s="63"/>
      <c r="I58" s="63"/>
      <c r="J58" s="63"/>
      <c r="K58" s="63"/>
    </row>
    <row r="59" spans="2:11" ht="27" customHeight="1">
      <c r="B59" s="64" t="s">
        <v>251</v>
      </c>
      <c r="C59" s="64"/>
      <c r="D59" s="64" t="s">
        <v>82</v>
      </c>
      <c r="E59" s="64"/>
      <c r="F59" s="64" t="s">
        <v>252</v>
      </c>
      <c r="G59" s="64"/>
      <c r="H59" s="64"/>
      <c r="I59" s="64" t="s">
        <v>253</v>
      </c>
      <c r="J59" s="64"/>
      <c r="K59" s="64"/>
    </row>
    <row r="60" spans="2:11" ht="39" customHeight="1">
      <c r="B60" s="65" t="s">
        <v>254</v>
      </c>
      <c r="C60" s="65"/>
      <c r="D60" s="65"/>
      <c r="E60" s="65"/>
      <c r="F60" s="65"/>
      <c r="G60" s="65"/>
      <c r="H60" s="65"/>
      <c r="I60" s="65"/>
      <c r="J60" s="65"/>
      <c r="K60" s="65"/>
    </row>
    <row r="61" spans="2:11" ht="27" customHeight="1">
      <c r="B61" s="62" t="s">
        <v>255</v>
      </c>
      <c r="C61" s="62"/>
      <c r="D61" s="62" t="s">
        <v>82</v>
      </c>
      <c r="E61" s="62"/>
      <c r="F61" s="62" t="s">
        <v>252</v>
      </c>
      <c r="G61" s="62"/>
      <c r="H61" s="62"/>
      <c r="I61" s="62" t="s">
        <v>256</v>
      </c>
      <c r="J61" s="62"/>
      <c r="K61" s="62"/>
    </row>
    <row r="62" spans="2:11" ht="39" customHeight="1">
      <c r="B62" s="63" t="s">
        <v>257</v>
      </c>
      <c r="C62" s="63"/>
      <c r="D62" s="63"/>
      <c r="E62" s="63"/>
      <c r="F62" s="63"/>
      <c r="G62" s="63"/>
      <c r="H62" s="63"/>
      <c r="I62" s="63"/>
      <c r="J62" s="63"/>
      <c r="K62" s="63"/>
    </row>
    <row r="63" spans="2:11" ht="27" customHeight="1">
      <c r="B63" s="64"/>
      <c r="C63" s="64"/>
      <c r="D63" s="64"/>
      <c r="E63" s="64"/>
      <c r="F63" s="64"/>
      <c r="G63" s="64"/>
      <c r="H63" s="64"/>
      <c r="I63" s="64"/>
      <c r="J63" s="64"/>
      <c r="K63" s="64"/>
    </row>
    <row r="64" spans="2:11" ht="39" customHeight="1">
      <c r="B64" s="65"/>
      <c r="C64" s="65"/>
      <c r="D64" s="65"/>
      <c r="E64" s="65"/>
      <c r="F64" s="65"/>
      <c r="G64" s="65"/>
      <c r="H64" s="65"/>
      <c r="I64" s="65"/>
      <c r="J64" s="65"/>
      <c r="K64" s="65"/>
    </row>
    <row r="65" spans="2:11" ht="27" customHeight="1">
      <c r="B65" s="62"/>
      <c r="C65" s="62"/>
      <c r="D65" s="62"/>
      <c r="E65" s="62"/>
      <c r="F65" s="62"/>
      <c r="G65" s="62"/>
      <c r="H65" s="62"/>
      <c r="I65" s="62"/>
      <c r="J65" s="62"/>
      <c r="K65" s="62"/>
    </row>
    <row r="66" spans="2:11" ht="39" customHeight="1">
      <c r="B66" s="63"/>
      <c r="C66" s="63"/>
      <c r="D66" s="63"/>
      <c r="E66" s="63"/>
      <c r="F66" s="63"/>
      <c r="G66" s="63"/>
      <c r="H66" s="63"/>
      <c r="I66" s="63"/>
      <c r="J66" s="63"/>
      <c r="K66" s="63"/>
    </row>
    <row r="67" spans="2:11" ht="12" customHeight="1"/>
  </sheetData>
  <mergeCells count="73">
    <mergeCell ref="B65:C65"/>
    <mergeCell ref="D65:E65"/>
    <mergeCell ref="F65:H65"/>
    <mergeCell ref="I65:K65"/>
    <mergeCell ref="B66:K66"/>
    <mergeCell ref="B63:C63"/>
    <mergeCell ref="D63:E63"/>
    <mergeCell ref="F63:H63"/>
    <mergeCell ref="I63:K63"/>
    <mergeCell ref="B64:K64"/>
    <mergeCell ref="B61:C61"/>
    <mergeCell ref="D61:E61"/>
    <mergeCell ref="F61:H61"/>
    <mergeCell ref="I61:K61"/>
    <mergeCell ref="B62:K62"/>
    <mergeCell ref="B59:C59"/>
    <mergeCell ref="D59:E59"/>
    <mergeCell ref="F59:H59"/>
    <mergeCell ref="I59:K59"/>
    <mergeCell ref="B60:K60"/>
    <mergeCell ref="B57:C57"/>
    <mergeCell ref="D57:E57"/>
    <mergeCell ref="F57:H57"/>
    <mergeCell ref="I57:K57"/>
    <mergeCell ref="B58:K58"/>
    <mergeCell ref="B54:K54"/>
    <mergeCell ref="B56:C56"/>
    <mergeCell ref="D56:E56"/>
    <mergeCell ref="F56:H56"/>
    <mergeCell ref="I56:K56"/>
    <mergeCell ref="C43:D43"/>
    <mergeCell ref="F43:K43"/>
    <mergeCell ref="B45:K45"/>
    <mergeCell ref="B46:K51"/>
    <mergeCell ref="B53:K53"/>
    <mergeCell ref="C39:F39"/>
    <mergeCell ref="H39:K39"/>
    <mergeCell ref="C41:D41"/>
    <mergeCell ref="F41:G41"/>
    <mergeCell ref="I41:K41"/>
    <mergeCell ref="C32:D32"/>
    <mergeCell ref="F32:G32"/>
    <mergeCell ref="I32:K32"/>
    <mergeCell ref="C34:K34"/>
    <mergeCell ref="B37:K37"/>
    <mergeCell ref="C25:D25"/>
    <mergeCell ref="F25:G25"/>
    <mergeCell ref="I25:K25"/>
    <mergeCell ref="C27:K27"/>
    <mergeCell ref="B30:K30"/>
    <mergeCell ref="B19:K19"/>
    <mergeCell ref="C21:F21"/>
    <mergeCell ref="H21:K21"/>
    <mergeCell ref="C23:D23"/>
    <mergeCell ref="F23:G23"/>
    <mergeCell ref="I23:J23"/>
    <mergeCell ref="C13:D13"/>
    <mergeCell ref="F13:G13"/>
    <mergeCell ref="I13:K13"/>
    <mergeCell ref="C15:D15"/>
    <mergeCell ref="F15:G15"/>
    <mergeCell ref="I15:K15"/>
    <mergeCell ref="C9:D9"/>
    <mergeCell ref="F9:G9"/>
    <mergeCell ref="I9:K9"/>
    <mergeCell ref="C11:D11"/>
    <mergeCell ref="F11:G11"/>
    <mergeCell ref="I11:K11"/>
    <mergeCell ref="B2:K2"/>
    <mergeCell ref="B3:K3"/>
    <mergeCell ref="B5:K5"/>
    <mergeCell ref="C7:F7"/>
    <mergeCell ref="H7:K7"/>
  </mergeCells>
  <dataValidations count="5">
    <dataValidation type="list" sqref="C32:D32" xr:uid="{00000000-0002-0000-0000-000000000000}">
      <formula1>"Recruiter screen,Hiring manager screen,Panel,Final,Offer discussion,Other"</formula1>
    </dataValidation>
    <dataValidation type="list" allowBlank="1" sqref="C34:K34" xr:uid="{00000000-0002-0000-0000-000001000000}">
      <formula1>"Advance to hiring manager,Schedule panel,Follow up,Hold / revisit,Not moving forward,Needs more info"</formula1>
    </dataValidation>
    <dataValidation type="date" showErrorMessage="1" errorTitle="Invalid screen date" error="Enter a valid date between 2000 and 2100." sqref="I32:K32" xr:uid="{00000000-0002-0000-0000-000002000000}">
      <formula1>DATE(2000,1,1)</formula1>
      <formula2>DATE(2100,12,31)</formula2>
    </dataValidation>
    <dataValidation type="list" allowBlank="1" sqref="C41:D41" xr:uid="{00000000-0002-0000-0000-000003000000}">
      <formula1>"Exploratory,Open to the right role,Actively interested,Not ready yet,Unsure"</formula1>
    </dataValidation>
    <dataValidation type="list" allowBlank="1" sqref="F41:G41 I41:K41" xr:uid="{00000000-0002-0000-0000-000004000000}">
      <formula1>"Yes,No,Unknown"</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5"/>
  <sheetViews>
    <sheetView showGridLines="0" workbookViewId="0"/>
  </sheetViews>
  <sheetFormatPr baseColWidth="10" defaultColWidth="8.83203125" defaultRowHeight="14"/>
  <cols>
    <col min="1" max="5" width="15.1640625" customWidth="1"/>
    <col min="6" max="8" width="14.1640625" customWidth="1"/>
    <col min="9" max="17" width="16.1640625" customWidth="1"/>
    <col min="18" max="26" width="15.83203125" customWidth="1"/>
    <col min="27" max="36" width="14.6640625" customWidth="1"/>
    <col min="37" max="37" width="33.33203125" customWidth="1"/>
  </cols>
  <sheetData>
    <row r="1" spans="1:37" ht="28">
      <c r="A1" s="2" t="s">
        <v>43</v>
      </c>
      <c r="B1" s="3" t="s">
        <v>44</v>
      </c>
      <c r="C1" s="2" t="s">
        <v>45</v>
      </c>
      <c r="D1" s="2" t="s">
        <v>46</v>
      </c>
      <c r="E1" s="2" t="s">
        <v>47</v>
      </c>
      <c r="F1" s="2" t="s">
        <v>48</v>
      </c>
      <c r="G1" s="2" t="s">
        <v>49</v>
      </c>
      <c r="H1" s="2" t="s">
        <v>50</v>
      </c>
      <c r="I1" s="2" t="s">
        <v>51</v>
      </c>
      <c r="J1" s="32" t="s">
        <v>52</v>
      </c>
      <c r="K1" s="2" t="s">
        <v>53</v>
      </c>
      <c r="L1" s="2" t="s">
        <v>54</v>
      </c>
      <c r="M1" s="2" t="s">
        <v>55</v>
      </c>
      <c r="N1" s="2" t="s">
        <v>56</v>
      </c>
      <c r="O1" s="2" t="s">
        <v>57</v>
      </c>
      <c r="P1" s="2" t="s">
        <v>58</v>
      </c>
      <c r="Q1" s="2" t="s">
        <v>59</v>
      </c>
      <c r="R1" s="2" t="s">
        <v>60</v>
      </c>
      <c r="S1" s="2" t="s">
        <v>61</v>
      </c>
      <c r="T1" s="2" t="s">
        <v>62</v>
      </c>
      <c r="U1" s="2" t="s">
        <v>63</v>
      </c>
      <c r="V1" s="2" t="s">
        <v>64</v>
      </c>
      <c r="W1" s="2" t="s">
        <v>65</v>
      </c>
      <c r="X1" s="2" t="s">
        <v>66</v>
      </c>
      <c r="Y1" s="2" t="s">
        <v>67</v>
      </c>
      <c r="Z1" s="2" t="s">
        <v>68</v>
      </c>
      <c r="AA1" s="2" t="s">
        <v>69</v>
      </c>
      <c r="AB1" s="2" t="s">
        <v>70</v>
      </c>
      <c r="AC1" s="32" t="s">
        <v>71</v>
      </c>
      <c r="AD1" s="2" t="s">
        <v>72</v>
      </c>
      <c r="AE1" s="2" t="s">
        <v>73</v>
      </c>
      <c r="AF1" s="2" t="s">
        <v>74</v>
      </c>
      <c r="AG1" s="2" t="s">
        <v>75</v>
      </c>
      <c r="AH1" s="2" t="s">
        <v>76</v>
      </c>
      <c r="AI1" s="2" t="s">
        <v>77</v>
      </c>
      <c r="AJ1" s="2" t="s">
        <v>78</v>
      </c>
      <c r="AK1" s="2" t="s">
        <v>79</v>
      </c>
    </row>
    <row r="2" spans="1:37" ht="70">
      <c r="A2" s="4" t="s">
        <v>80</v>
      </c>
      <c r="B2" s="5" t="s">
        <v>81</v>
      </c>
      <c r="C2" s="5" t="s">
        <v>82</v>
      </c>
      <c r="D2" s="5" t="s">
        <v>83</v>
      </c>
      <c r="E2" s="5" t="s">
        <v>84</v>
      </c>
      <c r="F2" s="5" t="s">
        <v>83</v>
      </c>
      <c r="G2" s="5" t="s">
        <v>85</v>
      </c>
      <c r="H2" s="5" t="s">
        <v>86</v>
      </c>
      <c r="I2" s="5" t="s">
        <v>87</v>
      </c>
      <c r="J2" s="5" t="s">
        <v>88</v>
      </c>
      <c r="K2" s="5" t="s">
        <v>89</v>
      </c>
      <c r="L2" s="5" t="s">
        <v>90</v>
      </c>
      <c r="M2" s="5" t="s">
        <v>91</v>
      </c>
      <c r="N2" s="5" t="s">
        <v>92</v>
      </c>
      <c r="O2" s="5" t="s">
        <v>93</v>
      </c>
      <c r="P2" s="5" t="s">
        <v>94</v>
      </c>
      <c r="Q2" s="5" t="s">
        <v>95</v>
      </c>
      <c r="R2" s="5" t="s">
        <v>96</v>
      </c>
      <c r="S2" s="5" t="s">
        <v>97</v>
      </c>
      <c r="T2" s="5" t="s">
        <v>96</v>
      </c>
      <c r="U2" s="5" t="s">
        <v>98</v>
      </c>
      <c r="V2" s="5" t="s">
        <v>82</v>
      </c>
      <c r="W2" s="5" t="s">
        <v>89</v>
      </c>
      <c r="X2" s="5" t="s">
        <v>99</v>
      </c>
      <c r="Y2" s="5" t="s">
        <v>100</v>
      </c>
      <c r="Z2" s="5" t="s">
        <v>101</v>
      </c>
      <c r="AA2" s="5" t="s">
        <v>102</v>
      </c>
      <c r="AB2" s="5" t="s">
        <v>82</v>
      </c>
      <c r="AC2" s="5" t="s">
        <v>103</v>
      </c>
      <c r="AD2" s="5" t="s">
        <v>104</v>
      </c>
      <c r="AE2" s="5" t="s">
        <v>105</v>
      </c>
      <c r="AF2" s="5" t="s">
        <v>95</v>
      </c>
      <c r="AG2" s="5" t="s">
        <v>106</v>
      </c>
      <c r="AH2" s="5" t="s">
        <v>107</v>
      </c>
      <c r="AI2" s="5" t="s">
        <v>108</v>
      </c>
      <c r="AJ2" s="5" t="s">
        <v>108</v>
      </c>
      <c r="AK2" s="6" t="s">
        <v>109</v>
      </c>
    </row>
    <row r="3" spans="1:37" ht="98">
      <c r="A3" s="7" t="s">
        <v>110</v>
      </c>
      <c r="B3" s="8" t="s">
        <v>111</v>
      </c>
      <c r="C3" s="8" t="s">
        <v>82</v>
      </c>
      <c r="D3" s="8" t="s">
        <v>112</v>
      </c>
      <c r="E3" s="8" t="s">
        <v>113</v>
      </c>
      <c r="F3" s="8" t="s">
        <v>114</v>
      </c>
      <c r="G3" s="8" t="s">
        <v>112</v>
      </c>
      <c r="H3" s="8" t="s">
        <v>115</v>
      </c>
      <c r="I3" s="8" t="s">
        <v>116</v>
      </c>
      <c r="J3" s="8" t="s">
        <v>117</v>
      </c>
      <c r="K3" s="8" t="s">
        <v>118</v>
      </c>
      <c r="L3" s="8" t="s">
        <v>116</v>
      </c>
      <c r="M3" s="8" t="s">
        <v>119</v>
      </c>
      <c r="N3" s="8" t="s">
        <v>120</v>
      </c>
      <c r="O3" s="8" t="s">
        <v>121</v>
      </c>
      <c r="P3" s="8" t="s">
        <v>122</v>
      </c>
      <c r="Q3" s="8" t="s">
        <v>123</v>
      </c>
      <c r="R3" s="8" t="s">
        <v>124</v>
      </c>
      <c r="S3" s="8" t="s">
        <v>125</v>
      </c>
      <c r="T3" s="8" t="s">
        <v>126</v>
      </c>
      <c r="U3" s="8" t="s">
        <v>124</v>
      </c>
      <c r="V3" s="8" t="s">
        <v>82</v>
      </c>
      <c r="W3" s="8" t="s">
        <v>118</v>
      </c>
      <c r="X3" s="8" t="s">
        <v>120</v>
      </c>
      <c r="Y3" s="8" t="s">
        <v>127</v>
      </c>
      <c r="Z3" s="8" t="s">
        <v>128</v>
      </c>
      <c r="AA3" s="8" t="s">
        <v>102</v>
      </c>
      <c r="AB3" s="8" t="s">
        <v>82</v>
      </c>
      <c r="AC3" s="8" t="s">
        <v>129</v>
      </c>
      <c r="AD3" s="8" t="s">
        <v>130</v>
      </c>
      <c r="AE3" s="8" t="s">
        <v>131</v>
      </c>
      <c r="AF3" s="8" t="s">
        <v>132</v>
      </c>
      <c r="AG3" s="8" t="s">
        <v>133</v>
      </c>
      <c r="AH3" s="8" t="s">
        <v>134</v>
      </c>
      <c r="AI3" s="8" t="s">
        <v>135</v>
      </c>
      <c r="AJ3" s="8" t="s">
        <v>108</v>
      </c>
      <c r="AK3" s="9" t="s">
        <v>136</v>
      </c>
    </row>
    <row r="4" spans="1:37" ht="84">
      <c r="A4" s="10" t="s">
        <v>137</v>
      </c>
      <c r="B4" s="11" t="s">
        <v>138</v>
      </c>
      <c r="C4" s="11" t="s">
        <v>82</v>
      </c>
      <c r="D4" s="11" t="s">
        <v>83</v>
      </c>
      <c r="E4" s="11" t="s">
        <v>84</v>
      </c>
      <c r="F4" s="11" t="s">
        <v>83</v>
      </c>
      <c r="G4" s="11" t="s">
        <v>85</v>
      </c>
      <c r="H4" s="11" t="s">
        <v>86</v>
      </c>
      <c r="I4" s="11" t="s">
        <v>87</v>
      </c>
      <c r="J4" s="11" t="s">
        <v>88</v>
      </c>
      <c r="K4" s="11" t="s">
        <v>89</v>
      </c>
      <c r="L4" s="11" t="s">
        <v>90</v>
      </c>
      <c r="M4" s="11" t="s">
        <v>91</v>
      </c>
      <c r="N4" s="11" t="s">
        <v>92</v>
      </c>
      <c r="O4" s="11" t="s">
        <v>93</v>
      </c>
      <c r="P4" s="11" t="s">
        <v>94</v>
      </c>
      <c r="Q4" s="11" t="s">
        <v>95</v>
      </c>
      <c r="R4" s="11" t="s">
        <v>96</v>
      </c>
      <c r="S4" s="11" t="s">
        <v>97</v>
      </c>
      <c r="T4" s="11" t="s">
        <v>96</v>
      </c>
      <c r="U4" s="11" t="s">
        <v>98</v>
      </c>
      <c r="V4" s="11" t="s">
        <v>82</v>
      </c>
      <c r="W4" s="11" t="s">
        <v>89</v>
      </c>
      <c r="X4" s="11" t="s">
        <v>99</v>
      </c>
      <c r="Y4" s="11" t="s">
        <v>100</v>
      </c>
      <c r="Z4" s="11" t="s">
        <v>101</v>
      </c>
      <c r="AA4" s="11" t="s">
        <v>139</v>
      </c>
      <c r="AB4" s="11" t="s">
        <v>82</v>
      </c>
      <c r="AC4" s="11" t="s">
        <v>140</v>
      </c>
      <c r="AD4" s="11" t="s">
        <v>141</v>
      </c>
      <c r="AE4" s="11" t="s">
        <v>142</v>
      </c>
      <c r="AF4" s="11" t="s">
        <v>95</v>
      </c>
      <c r="AG4" s="11" t="s">
        <v>106</v>
      </c>
      <c r="AH4" s="11" t="s">
        <v>143</v>
      </c>
      <c r="AI4" s="11" t="s">
        <v>108</v>
      </c>
      <c r="AJ4" s="11" t="s">
        <v>108</v>
      </c>
      <c r="AK4" s="12" t="s">
        <v>144</v>
      </c>
    </row>
    <row r="5" spans="1:37" ht="409.6">
      <c r="A5" s="68" t="s">
        <v>263</v>
      </c>
      <c r="B5" s="68" t="s">
        <v>264</v>
      </c>
      <c r="C5" s="68" t="s">
        <v>82</v>
      </c>
      <c r="D5" s="68">
        <v>100245</v>
      </c>
      <c r="E5" s="68" t="s">
        <v>250</v>
      </c>
      <c r="F5" s="68">
        <v>100245</v>
      </c>
      <c r="G5" s="68" t="s">
        <v>85</v>
      </c>
      <c r="H5" s="68" t="s">
        <v>86</v>
      </c>
      <c r="I5" s="68" t="s">
        <v>87</v>
      </c>
      <c r="J5" s="68">
        <v>44424</v>
      </c>
      <c r="K5" s="68" t="s">
        <v>89</v>
      </c>
      <c r="L5" s="68" t="s">
        <v>90</v>
      </c>
      <c r="M5" s="68" t="s">
        <v>91</v>
      </c>
      <c r="N5" s="68" t="s">
        <v>92</v>
      </c>
      <c r="O5" s="68" t="s">
        <v>93</v>
      </c>
      <c r="P5" s="68" t="s">
        <v>94</v>
      </c>
      <c r="Q5" s="68" t="s">
        <v>95</v>
      </c>
      <c r="R5" s="68" t="s">
        <v>126</v>
      </c>
      <c r="S5" s="68" t="s">
        <v>258</v>
      </c>
      <c r="T5" s="68" t="s">
        <v>126</v>
      </c>
      <c r="U5" s="68" t="s">
        <v>124</v>
      </c>
      <c r="V5" s="68" t="s">
        <v>82</v>
      </c>
      <c r="W5" s="68" t="s">
        <v>118</v>
      </c>
      <c r="X5" s="68" t="s">
        <v>120</v>
      </c>
      <c r="Y5" s="68" t="s">
        <v>127</v>
      </c>
      <c r="Z5" s="68" t="s">
        <v>259</v>
      </c>
      <c r="AA5" s="68" t="s">
        <v>225</v>
      </c>
      <c r="AB5" s="68" t="s">
        <v>82</v>
      </c>
      <c r="AC5" s="69">
        <v>46174</v>
      </c>
      <c r="AD5" s="68" t="s">
        <v>130</v>
      </c>
      <c r="AE5" s="68" t="s">
        <v>260</v>
      </c>
      <c r="AF5" s="68" t="s">
        <v>163</v>
      </c>
      <c r="AG5" s="68" t="s">
        <v>106</v>
      </c>
      <c r="AH5" s="68" t="s">
        <v>261</v>
      </c>
      <c r="AI5" s="68" t="s">
        <v>217</v>
      </c>
      <c r="AJ5" s="68" t="s">
        <v>135</v>
      </c>
      <c r="AK5" s="68" t="s">
        <v>262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7"/>
  <sheetViews>
    <sheetView showGridLines="0" workbookViewId="0">
      <selection activeCell="C5" sqref="C5"/>
    </sheetView>
  </sheetViews>
  <sheetFormatPr baseColWidth="10" defaultColWidth="8.83203125" defaultRowHeight="14"/>
  <cols>
    <col min="1" max="2" width="13.33203125" customWidth="1"/>
    <col min="3" max="3" width="18.83203125" customWidth="1"/>
    <col min="4" max="4" width="23.33203125" customWidth="1"/>
    <col min="5" max="5" width="14.5" customWidth="1"/>
    <col min="6" max="8" width="16.6640625" customWidth="1"/>
    <col min="9" max="12" width="18.83203125" customWidth="1"/>
  </cols>
  <sheetData>
    <row r="1" spans="1:12" ht="28">
      <c r="A1" s="13" t="s">
        <v>48</v>
      </c>
      <c r="B1" s="13" t="s">
        <v>49</v>
      </c>
      <c r="C1" s="13" t="s">
        <v>50</v>
      </c>
      <c r="D1" s="13" t="s">
        <v>51</v>
      </c>
      <c r="E1" s="33" t="s">
        <v>52</v>
      </c>
      <c r="F1" s="13" t="s">
        <v>53</v>
      </c>
      <c r="G1" s="13" t="s">
        <v>54</v>
      </c>
      <c r="H1" s="13" t="s">
        <v>55</v>
      </c>
      <c r="I1" s="13" t="s">
        <v>56</v>
      </c>
      <c r="J1" s="13" t="s">
        <v>57</v>
      </c>
      <c r="K1" s="13" t="s">
        <v>58</v>
      </c>
      <c r="L1" s="13" t="s">
        <v>59</v>
      </c>
    </row>
    <row r="2" spans="1:12">
      <c r="A2" s="4" t="s">
        <v>83</v>
      </c>
      <c r="B2" s="5" t="s">
        <v>85</v>
      </c>
      <c r="C2" s="5" t="s">
        <v>86</v>
      </c>
      <c r="D2" s="5" t="s">
        <v>87</v>
      </c>
      <c r="E2" s="5" t="s">
        <v>88</v>
      </c>
      <c r="F2" s="5" t="s">
        <v>89</v>
      </c>
      <c r="G2" s="5" t="s">
        <v>90</v>
      </c>
      <c r="H2" s="5" t="s">
        <v>91</v>
      </c>
      <c r="I2" s="5" t="s">
        <v>92</v>
      </c>
      <c r="J2" s="5" t="s">
        <v>93</v>
      </c>
      <c r="K2" s="5" t="s">
        <v>94</v>
      </c>
      <c r="L2" s="6" t="s">
        <v>95</v>
      </c>
    </row>
    <row r="3" spans="1:12" ht="28">
      <c r="A3" s="7" t="s">
        <v>145</v>
      </c>
      <c r="B3" s="8" t="s">
        <v>146</v>
      </c>
      <c r="C3" s="8" t="s">
        <v>147</v>
      </c>
      <c r="D3" s="8" t="s">
        <v>148</v>
      </c>
      <c r="E3" s="8" t="s">
        <v>149</v>
      </c>
      <c r="F3" s="8" t="s">
        <v>150</v>
      </c>
      <c r="G3" s="8" t="s">
        <v>151</v>
      </c>
      <c r="H3" s="8" t="s">
        <v>119</v>
      </c>
      <c r="I3" s="8" t="s">
        <v>99</v>
      </c>
      <c r="J3" s="8" t="s">
        <v>152</v>
      </c>
      <c r="K3" s="8" t="s">
        <v>153</v>
      </c>
      <c r="L3" s="9" t="s">
        <v>123</v>
      </c>
    </row>
    <row r="4" spans="1:12" ht="28">
      <c r="A4" s="7" t="s">
        <v>154</v>
      </c>
      <c r="B4" s="8" t="s">
        <v>155</v>
      </c>
      <c r="C4" s="8" t="s">
        <v>249</v>
      </c>
      <c r="D4" s="8" t="s">
        <v>156</v>
      </c>
      <c r="E4" s="8" t="s">
        <v>157</v>
      </c>
      <c r="F4" s="8" t="s">
        <v>158</v>
      </c>
      <c r="G4" s="8" t="s">
        <v>159</v>
      </c>
      <c r="H4" s="8" t="s">
        <v>91</v>
      </c>
      <c r="I4" s="8" t="s">
        <v>160</v>
      </c>
      <c r="J4" s="8" t="s">
        <v>161</v>
      </c>
      <c r="K4" s="8" t="s">
        <v>162</v>
      </c>
      <c r="L4" s="9" t="s">
        <v>163</v>
      </c>
    </row>
    <row r="5" spans="1:12" ht="28">
      <c r="A5" s="7" t="s">
        <v>114</v>
      </c>
      <c r="B5" s="8" t="s">
        <v>112</v>
      </c>
      <c r="C5" s="8" t="s">
        <v>115</v>
      </c>
      <c r="D5" s="8" t="s">
        <v>116</v>
      </c>
      <c r="E5" s="8" t="s">
        <v>117</v>
      </c>
      <c r="F5" s="8" t="s">
        <v>118</v>
      </c>
      <c r="G5" s="8" t="s">
        <v>116</v>
      </c>
      <c r="H5" s="8" t="s">
        <v>119</v>
      </c>
      <c r="I5" s="8" t="s">
        <v>120</v>
      </c>
      <c r="J5" s="8" t="s">
        <v>121</v>
      </c>
      <c r="K5" s="8" t="s">
        <v>122</v>
      </c>
      <c r="L5" s="9" t="s">
        <v>123</v>
      </c>
    </row>
    <row r="6" spans="1:12" ht="28">
      <c r="A6" s="7" t="s">
        <v>164</v>
      </c>
      <c r="B6" s="8" t="s">
        <v>165</v>
      </c>
      <c r="C6" s="8" t="s">
        <v>166</v>
      </c>
      <c r="D6" s="8" t="s">
        <v>167</v>
      </c>
      <c r="E6" s="8" t="s">
        <v>168</v>
      </c>
      <c r="F6" s="8" t="s">
        <v>169</v>
      </c>
      <c r="G6" s="8" t="s">
        <v>170</v>
      </c>
      <c r="H6" s="8" t="s">
        <v>91</v>
      </c>
      <c r="I6" s="8" t="s">
        <v>171</v>
      </c>
      <c r="J6" s="8" t="s">
        <v>172</v>
      </c>
      <c r="K6" s="8" t="s">
        <v>173</v>
      </c>
      <c r="L6" s="9" t="s">
        <v>174</v>
      </c>
    </row>
    <row r="7" spans="1:12">
      <c r="A7" s="10" t="s">
        <v>175</v>
      </c>
      <c r="B7" s="11" t="s">
        <v>176</v>
      </c>
      <c r="C7" s="11" t="s">
        <v>177</v>
      </c>
      <c r="D7" s="11" t="s">
        <v>178</v>
      </c>
      <c r="E7" s="11" t="s">
        <v>179</v>
      </c>
      <c r="F7" s="11" t="s">
        <v>180</v>
      </c>
      <c r="G7" s="11" t="s">
        <v>181</v>
      </c>
      <c r="H7" s="11" t="s">
        <v>91</v>
      </c>
      <c r="I7" s="11" t="s">
        <v>182</v>
      </c>
      <c r="J7" s="11" t="s">
        <v>161</v>
      </c>
      <c r="K7" s="11" t="s">
        <v>183</v>
      </c>
      <c r="L7" s="12" t="s">
        <v>163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4"/>
  <sheetViews>
    <sheetView showGridLines="0" topLeftCell="H1" workbookViewId="0">
      <selection activeCell="O4" sqref="O4"/>
    </sheetView>
  </sheetViews>
  <sheetFormatPr baseColWidth="10" defaultColWidth="8.83203125" defaultRowHeight="14"/>
  <cols>
    <col min="1" max="3" width="14.5" customWidth="1"/>
    <col min="4" max="4" width="24.5" customWidth="1"/>
    <col min="5" max="7" width="16.6640625" customWidth="1"/>
    <col min="8" max="10" width="13.33203125" customWidth="1"/>
    <col min="11" max="11" width="23.33203125" customWidth="1"/>
    <col min="12" max="14" width="18.83203125" customWidth="1"/>
    <col min="15" max="15" width="46.6640625" customWidth="1"/>
    <col min="16" max="16" width="20" customWidth="1"/>
  </cols>
  <sheetData>
    <row r="1" spans="1:16" ht="28">
      <c r="A1" s="13" t="s">
        <v>184</v>
      </c>
      <c r="B1" s="13" t="s">
        <v>185</v>
      </c>
      <c r="C1" s="13" t="s">
        <v>186</v>
      </c>
      <c r="D1" s="13" t="s">
        <v>187</v>
      </c>
      <c r="E1" s="13" t="s">
        <v>188</v>
      </c>
      <c r="F1" s="13" t="s">
        <v>189</v>
      </c>
      <c r="G1" s="13" t="s">
        <v>190</v>
      </c>
      <c r="H1" s="13" t="s">
        <v>191</v>
      </c>
      <c r="I1" s="13" t="s">
        <v>192</v>
      </c>
      <c r="J1" s="13" t="s">
        <v>193</v>
      </c>
      <c r="K1" s="13" t="s">
        <v>194</v>
      </c>
      <c r="L1" s="13" t="s">
        <v>195</v>
      </c>
      <c r="M1" s="13" t="s">
        <v>10</v>
      </c>
      <c r="N1" s="13" t="s">
        <v>196</v>
      </c>
      <c r="O1" s="13" t="s">
        <v>68</v>
      </c>
      <c r="P1" s="13" t="s">
        <v>197</v>
      </c>
    </row>
    <row r="2" spans="1:16" ht="56">
      <c r="A2" s="4" t="s">
        <v>198</v>
      </c>
      <c r="B2" s="5" t="s">
        <v>199</v>
      </c>
      <c r="C2" s="5" t="s">
        <v>96</v>
      </c>
      <c r="D2" s="5" t="s">
        <v>98</v>
      </c>
      <c r="E2" s="5" t="s">
        <v>200</v>
      </c>
      <c r="F2" s="5" t="s">
        <v>119</v>
      </c>
      <c r="G2" s="5">
        <v>1</v>
      </c>
      <c r="H2" s="5" t="s">
        <v>93</v>
      </c>
      <c r="I2" s="5" t="s">
        <v>94</v>
      </c>
      <c r="J2" s="5" t="s">
        <v>95</v>
      </c>
      <c r="K2" s="5" t="s">
        <v>201</v>
      </c>
      <c r="L2" s="5" t="s">
        <v>82</v>
      </c>
      <c r="M2" s="5" t="s">
        <v>89</v>
      </c>
      <c r="N2" s="5" t="s">
        <v>99</v>
      </c>
      <c r="O2" s="5" t="s">
        <v>202</v>
      </c>
      <c r="P2" s="6" t="s">
        <v>100</v>
      </c>
    </row>
    <row r="3" spans="1:16" ht="252">
      <c r="A3" s="7" t="s">
        <v>198</v>
      </c>
      <c r="B3" s="8" t="s">
        <v>199</v>
      </c>
      <c r="C3" s="8" t="s">
        <v>126</v>
      </c>
      <c r="D3" s="8" t="s">
        <v>124</v>
      </c>
      <c r="E3" s="8" t="s">
        <v>203</v>
      </c>
      <c r="F3" s="8" t="s">
        <v>204</v>
      </c>
      <c r="G3" s="8">
        <v>1</v>
      </c>
      <c r="H3" s="8" t="s">
        <v>121</v>
      </c>
      <c r="I3" s="8" t="s">
        <v>122</v>
      </c>
      <c r="J3" s="8" t="s">
        <v>123</v>
      </c>
      <c r="K3" s="8" t="s">
        <v>205</v>
      </c>
      <c r="L3" s="8" t="s">
        <v>82</v>
      </c>
      <c r="M3" s="8" t="s">
        <v>118</v>
      </c>
      <c r="N3" s="8" t="s">
        <v>120</v>
      </c>
      <c r="O3" s="8" t="s">
        <v>259</v>
      </c>
      <c r="P3" s="9" t="s">
        <v>127</v>
      </c>
    </row>
    <row r="4" spans="1:16" ht="56">
      <c r="A4" s="10" t="s">
        <v>198</v>
      </c>
      <c r="B4" s="11" t="s">
        <v>206</v>
      </c>
      <c r="C4" s="11" t="s">
        <v>207</v>
      </c>
      <c r="D4" s="11" t="s">
        <v>208</v>
      </c>
      <c r="E4" s="11" t="s">
        <v>200</v>
      </c>
      <c r="F4" s="11" t="s">
        <v>91</v>
      </c>
      <c r="G4" s="11">
        <v>2</v>
      </c>
      <c r="H4" s="11" t="s">
        <v>161</v>
      </c>
      <c r="I4" s="11" t="s">
        <v>183</v>
      </c>
      <c r="J4" s="11" t="s">
        <v>163</v>
      </c>
      <c r="K4" s="11" t="s">
        <v>209</v>
      </c>
      <c r="L4" s="11" t="s">
        <v>82</v>
      </c>
      <c r="M4" s="11" t="s">
        <v>180</v>
      </c>
      <c r="N4" s="11" t="s">
        <v>182</v>
      </c>
      <c r="O4" s="11" t="s">
        <v>210</v>
      </c>
      <c r="P4" s="12" t="s">
        <v>211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F16"/>
  <sheetViews>
    <sheetView showGridLines="0" workbookViewId="0"/>
  </sheetViews>
  <sheetFormatPr baseColWidth="10" defaultColWidth="8.83203125" defaultRowHeight="14"/>
  <cols>
    <col min="1" max="1" width="3.1640625" customWidth="1"/>
    <col min="2" max="2" width="25.5" customWidth="1"/>
    <col min="3" max="4" width="28.83203125" customWidth="1"/>
    <col min="5" max="5" width="25.5" customWidth="1"/>
    <col min="6" max="6" width="3.1640625" customWidth="1"/>
  </cols>
  <sheetData>
    <row r="2" spans="2:6" ht="23">
      <c r="B2" s="66" t="s">
        <v>212</v>
      </c>
      <c r="C2" s="66"/>
      <c r="D2" s="66"/>
      <c r="E2" s="66"/>
      <c r="F2" s="66"/>
    </row>
    <row r="4" spans="2:6" ht="15">
      <c r="B4" s="14" t="s">
        <v>213</v>
      </c>
      <c r="C4" s="14" t="s">
        <v>214</v>
      </c>
      <c r="D4" s="14" t="s">
        <v>33</v>
      </c>
      <c r="E4" s="14" t="s">
        <v>215</v>
      </c>
    </row>
    <row r="5" spans="2:6" ht="15">
      <c r="B5" s="15" t="s">
        <v>102</v>
      </c>
      <c r="C5" s="16" t="s">
        <v>104</v>
      </c>
      <c r="D5" s="16" t="s">
        <v>216</v>
      </c>
      <c r="E5" s="17" t="s">
        <v>108</v>
      </c>
    </row>
    <row r="6" spans="2:6" ht="15">
      <c r="B6" s="18" t="s">
        <v>139</v>
      </c>
      <c r="C6" s="19" t="s">
        <v>141</v>
      </c>
      <c r="D6" s="19" t="s">
        <v>133</v>
      </c>
      <c r="E6" s="20" t="s">
        <v>217</v>
      </c>
    </row>
    <row r="7" spans="2:6" ht="15">
      <c r="B7" s="18" t="s">
        <v>218</v>
      </c>
      <c r="C7" s="19" t="s">
        <v>130</v>
      </c>
      <c r="D7" s="19" t="s">
        <v>106</v>
      </c>
      <c r="E7" s="20" t="s">
        <v>135</v>
      </c>
    </row>
    <row r="8" spans="2:6" ht="15">
      <c r="B8" s="18" t="s">
        <v>219</v>
      </c>
      <c r="C8" s="19" t="s">
        <v>220</v>
      </c>
      <c r="D8" s="19" t="s">
        <v>221</v>
      </c>
      <c r="E8" s="20"/>
    </row>
    <row r="9" spans="2:6" ht="15">
      <c r="B9" s="18" t="s">
        <v>222</v>
      </c>
      <c r="C9" s="19" t="s">
        <v>223</v>
      </c>
      <c r="D9" s="19" t="s">
        <v>224</v>
      </c>
      <c r="E9" s="20"/>
    </row>
    <row r="10" spans="2:6" ht="15">
      <c r="B10" s="21" t="s">
        <v>225</v>
      </c>
      <c r="C10" s="22" t="s">
        <v>226</v>
      </c>
      <c r="D10" s="22"/>
      <c r="E10" s="23"/>
    </row>
    <row r="16" spans="2:6" ht="15">
      <c r="B16" s="24" t="s">
        <v>227</v>
      </c>
      <c r="C16" s="25" t="s">
        <v>82</v>
      </c>
    </row>
  </sheetData>
  <mergeCells count="1">
    <mergeCell ref="B2:F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C13"/>
  <sheetViews>
    <sheetView showGridLines="0" workbookViewId="0"/>
  </sheetViews>
  <sheetFormatPr baseColWidth="10" defaultColWidth="8.83203125" defaultRowHeight="14"/>
  <cols>
    <col min="1" max="1" width="3.1640625" customWidth="1"/>
    <col min="2" max="2" width="24.5" customWidth="1"/>
    <col min="3" max="3" width="84.5" customWidth="1"/>
    <col min="4" max="4" width="3.1640625" customWidth="1"/>
  </cols>
  <sheetData>
    <row r="1" spans="2:3" ht="13.5" customHeight="1"/>
    <row r="2" spans="2:3" ht="31.5" customHeight="1">
      <c r="B2" s="66" t="s">
        <v>228</v>
      </c>
      <c r="C2" s="66"/>
    </row>
    <row r="3" spans="2:3" ht="12" customHeight="1"/>
    <row r="4" spans="2:3" ht="39" customHeight="1">
      <c r="B4" s="26" t="s">
        <v>229</v>
      </c>
      <c r="C4" s="29" t="s">
        <v>230</v>
      </c>
    </row>
    <row r="5" spans="2:3" ht="39" customHeight="1">
      <c r="B5" s="27" t="s">
        <v>231</v>
      </c>
      <c r="C5" s="30" t="s">
        <v>232</v>
      </c>
    </row>
    <row r="6" spans="2:3" ht="39" customHeight="1">
      <c r="B6" s="27" t="s">
        <v>233</v>
      </c>
      <c r="C6" s="30" t="s">
        <v>234</v>
      </c>
    </row>
    <row r="7" spans="2:3" ht="39" customHeight="1">
      <c r="B7" s="27" t="s">
        <v>235</v>
      </c>
      <c r="C7" s="30" t="s">
        <v>236</v>
      </c>
    </row>
    <row r="8" spans="2:3" ht="39" customHeight="1">
      <c r="B8" s="27" t="s">
        <v>237</v>
      </c>
      <c r="C8" s="30" t="s">
        <v>238</v>
      </c>
    </row>
    <row r="9" spans="2:3" ht="39" customHeight="1">
      <c r="B9" s="27" t="s">
        <v>239</v>
      </c>
      <c r="C9" s="30" t="s">
        <v>240</v>
      </c>
    </row>
    <row r="10" spans="2:3" ht="39" customHeight="1">
      <c r="B10" s="27" t="s">
        <v>241</v>
      </c>
      <c r="C10" s="30" t="s">
        <v>242</v>
      </c>
    </row>
    <row r="11" spans="2:3" ht="39" customHeight="1">
      <c r="B11" s="27" t="s">
        <v>243</v>
      </c>
      <c r="C11" s="30" t="s">
        <v>244</v>
      </c>
    </row>
    <row r="12" spans="2:3" ht="39" customHeight="1">
      <c r="B12" s="27" t="s">
        <v>245</v>
      </c>
      <c r="C12" s="30" t="s">
        <v>246</v>
      </c>
    </row>
    <row r="13" spans="2:3" ht="39" customHeight="1">
      <c r="B13" s="28" t="s">
        <v>247</v>
      </c>
      <c r="C13" s="31" t="s">
        <v>248</v>
      </c>
    </row>
  </sheetData>
  <mergeCells count="1">
    <mergeCell ref="B2:C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Intake</vt:lpstr>
      <vt:lpstr>Candidates</vt:lpstr>
      <vt:lpstr>hd_employees</vt:lpstr>
      <vt:lpstr>hd_requisitions</vt:lpstr>
      <vt:lpstr>Settings</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Robert Kelly</cp:lastModifiedBy>
  <dcterms:modified xsi:type="dcterms:W3CDTF">2026-06-18T03:55:53Z</dcterms:modified>
</cp:coreProperties>
</file>